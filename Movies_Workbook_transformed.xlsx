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codebasicsio-my.sharepoint.com/personal/hem_codebasics_io/Documents/SharePoint_Migration/2. Courses/1. Paid Courses/5. DA Bootcamp/01_DA 6.0 Upgrade/1. Excel + AI Chapter/Use Case 3/"/>
    </mc:Choice>
  </mc:AlternateContent>
  <xr:revisionPtr revIDLastSave="0" documentId="8_{AE70906E-40C1-4119-A0EF-D7BB4186B783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MovieFinancials" sheetId="6" r:id="rId1"/>
    <sheet name="movies" sheetId="1" r:id="rId2"/>
    <sheet name="Notes" sheetId="7" r:id="rId3"/>
    <sheet name="financials" sheetId="2" r:id="rId4"/>
    <sheet name="actors" sheetId="3" r:id="rId5"/>
    <sheet name="movie_actor" sheetId="4" r:id="rId6"/>
    <sheet name="languages" sheetId="5" r:id="rId7"/>
    <sheet name="Language Summary" sheetId="8" r:id="rId8"/>
    <sheet name="Check Log" sheetId="9" r:id="rId9"/>
  </sheets>
  <definedNames>
    <definedName name="ExternalData_1" localSheetId="0" hidden="1">MovieFinancials!$A$1:$R$40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6" i="6" l="1"/>
  <c r="C49" i="6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D3" i="8"/>
  <c r="C3" i="8"/>
  <c r="B3" i="8"/>
  <c r="D2" i="8"/>
  <c r="C2" i="8"/>
  <c r="B2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2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N20" i="6"/>
  <c r="M20" i="6"/>
  <c r="L20" i="6"/>
  <c r="L19" i="6"/>
  <c r="L18" i="6"/>
  <c r="L17" i="6"/>
  <c r="L16" i="6"/>
  <c r="L15" i="6"/>
  <c r="L14" i="6"/>
  <c r="L13" i="6"/>
  <c r="L12" i="6"/>
  <c r="L11" i="6"/>
  <c r="N10" i="6"/>
  <c r="M10" i="6"/>
  <c r="L10" i="6"/>
  <c r="L9" i="6"/>
  <c r="L8" i="6"/>
  <c r="L7" i="6"/>
  <c r="L6" i="6"/>
  <c r="L5" i="6"/>
  <c r="L4" i="6"/>
  <c r="L3" i="6"/>
  <c r="L2" i="6"/>
  <c r="N2" i="6" l="1"/>
  <c r="M2" i="6"/>
  <c r="N3" i="6"/>
  <c r="M3" i="6"/>
  <c r="N4" i="6"/>
  <c r="M4" i="6"/>
  <c r="N5" i="6"/>
  <c r="M5" i="6"/>
  <c r="N6" i="6"/>
  <c r="M6" i="6"/>
  <c r="N7" i="6"/>
  <c r="M7" i="6"/>
  <c r="N8" i="6"/>
  <c r="M8" i="6"/>
  <c r="N9" i="6"/>
  <c r="M9" i="6"/>
  <c r="Q10" i="6"/>
  <c r="O10" i="6"/>
  <c r="R10" i="6"/>
  <c r="P10" i="6"/>
  <c r="N11" i="6"/>
  <c r="M11" i="6"/>
  <c r="N12" i="6"/>
  <c r="M12" i="6"/>
  <c r="N13" i="6"/>
  <c r="M13" i="6"/>
  <c r="N14" i="6"/>
  <c r="M14" i="6"/>
  <c r="N15" i="6"/>
  <c r="M15" i="6"/>
  <c r="N16" i="6"/>
  <c r="M16" i="6"/>
  <c r="N17" i="6"/>
  <c r="M17" i="6"/>
  <c r="N18" i="6"/>
  <c r="M18" i="6"/>
  <c r="N19" i="6"/>
  <c r="M19" i="6"/>
  <c r="Q20" i="6"/>
  <c r="O20" i="6"/>
  <c r="R20" i="6"/>
  <c r="P20" i="6"/>
  <c r="N21" i="6"/>
  <c r="M21" i="6"/>
  <c r="N22" i="6"/>
  <c r="M22" i="6"/>
  <c r="N23" i="6"/>
  <c r="M23" i="6"/>
  <c r="N24" i="6"/>
  <c r="M24" i="6"/>
  <c r="N25" i="6"/>
  <c r="M25" i="6"/>
  <c r="N26" i="6"/>
  <c r="M26" i="6"/>
  <c r="N27" i="6"/>
  <c r="M27" i="6"/>
  <c r="N28" i="6"/>
  <c r="M28" i="6"/>
  <c r="N29" i="6"/>
  <c r="M29" i="6"/>
  <c r="N30" i="6"/>
  <c r="M30" i="6"/>
  <c r="N31" i="6"/>
  <c r="M31" i="6"/>
  <c r="N32" i="6"/>
  <c r="M32" i="6"/>
  <c r="N33" i="6"/>
  <c r="M33" i="6"/>
  <c r="N34" i="6"/>
  <c r="M34" i="6"/>
  <c r="N35" i="6"/>
  <c r="M35" i="6"/>
  <c r="N36" i="6"/>
  <c r="M36" i="6"/>
  <c r="N37" i="6"/>
  <c r="M37" i="6"/>
  <c r="N38" i="6"/>
  <c r="M38" i="6"/>
  <c r="N39" i="6"/>
  <c r="M39" i="6"/>
  <c r="N40" i="6"/>
  <c r="M40" i="6"/>
  <c r="N41" i="6"/>
  <c r="M41" i="6"/>
  <c r="N42" i="6"/>
  <c r="M42" i="6"/>
  <c r="N43" i="6"/>
  <c r="M43" i="6"/>
  <c r="N44" i="6"/>
  <c r="M44" i="6"/>
  <c r="S20" i="6" l="1"/>
  <c r="S10" i="6"/>
  <c r="Q2" i="6"/>
  <c r="O2" i="6"/>
  <c r="R2" i="6"/>
  <c r="P2" i="6"/>
  <c r="Q44" i="6"/>
  <c r="O44" i="6"/>
  <c r="R44" i="6"/>
  <c r="P44" i="6"/>
  <c r="Q43" i="6"/>
  <c r="O43" i="6"/>
  <c r="R43" i="6"/>
  <c r="P43" i="6"/>
  <c r="Q42" i="6"/>
  <c r="O42" i="6"/>
  <c r="R42" i="6"/>
  <c r="P42" i="6"/>
  <c r="Q41" i="6"/>
  <c r="O41" i="6"/>
  <c r="R41" i="6"/>
  <c r="P41" i="6"/>
  <c r="Q40" i="6"/>
  <c r="O40" i="6"/>
  <c r="R40" i="6"/>
  <c r="P40" i="6"/>
  <c r="Q39" i="6"/>
  <c r="O39" i="6"/>
  <c r="R39" i="6"/>
  <c r="P39" i="6"/>
  <c r="Q38" i="6"/>
  <c r="O38" i="6"/>
  <c r="R38" i="6"/>
  <c r="P38" i="6"/>
  <c r="Q37" i="6"/>
  <c r="O37" i="6"/>
  <c r="R37" i="6"/>
  <c r="P37" i="6"/>
  <c r="Q36" i="6"/>
  <c r="O36" i="6"/>
  <c r="R36" i="6"/>
  <c r="P36" i="6"/>
  <c r="Q35" i="6"/>
  <c r="O35" i="6"/>
  <c r="R35" i="6"/>
  <c r="P35" i="6"/>
  <c r="Q34" i="6"/>
  <c r="O34" i="6"/>
  <c r="R34" i="6"/>
  <c r="P34" i="6"/>
  <c r="Q33" i="6"/>
  <c r="O33" i="6"/>
  <c r="R33" i="6"/>
  <c r="P33" i="6"/>
  <c r="Q32" i="6"/>
  <c r="O32" i="6"/>
  <c r="R32" i="6"/>
  <c r="P32" i="6"/>
  <c r="Q31" i="6"/>
  <c r="O31" i="6"/>
  <c r="R31" i="6"/>
  <c r="P31" i="6"/>
  <c r="Q30" i="6"/>
  <c r="O30" i="6"/>
  <c r="R30" i="6"/>
  <c r="P30" i="6"/>
  <c r="Q29" i="6"/>
  <c r="O29" i="6"/>
  <c r="R29" i="6"/>
  <c r="P29" i="6"/>
  <c r="Q28" i="6"/>
  <c r="O28" i="6"/>
  <c r="R28" i="6"/>
  <c r="P28" i="6"/>
  <c r="Q27" i="6"/>
  <c r="O27" i="6"/>
  <c r="R27" i="6"/>
  <c r="P27" i="6"/>
  <c r="Q26" i="6"/>
  <c r="O26" i="6"/>
  <c r="R26" i="6"/>
  <c r="P26" i="6"/>
  <c r="Q25" i="6"/>
  <c r="O25" i="6"/>
  <c r="R25" i="6"/>
  <c r="P25" i="6"/>
  <c r="Q24" i="6"/>
  <c r="O24" i="6"/>
  <c r="R24" i="6"/>
  <c r="P24" i="6"/>
  <c r="Q23" i="6"/>
  <c r="O23" i="6"/>
  <c r="R23" i="6"/>
  <c r="P23" i="6"/>
  <c r="Q22" i="6"/>
  <c r="O22" i="6"/>
  <c r="R22" i="6"/>
  <c r="P22" i="6"/>
  <c r="Q21" i="6"/>
  <c r="O21" i="6"/>
  <c r="R21" i="6"/>
  <c r="P21" i="6"/>
  <c r="Q19" i="6"/>
  <c r="O19" i="6"/>
  <c r="R19" i="6"/>
  <c r="P19" i="6"/>
  <c r="Q18" i="6"/>
  <c r="O18" i="6"/>
  <c r="R18" i="6"/>
  <c r="P18" i="6"/>
  <c r="Q17" i="6"/>
  <c r="O17" i="6"/>
  <c r="R17" i="6"/>
  <c r="P17" i="6"/>
  <c r="Q16" i="6"/>
  <c r="O16" i="6"/>
  <c r="R16" i="6"/>
  <c r="P16" i="6"/>
  <c r="Q15" i="6"/>
  <c r="O15" i="6"/>
  <c r="R15" i="6"/>
  <c r="P15" i="6"/>
  <c r="Q14" i="6"/>
  <c r="O14" i="6"/>
  <c r="R14" i="6"/>
  <c r="P14" i="6"/>
  <c r="Q13" i="6"/>
  <c r="O13" i="6"/>
  <c r="R13" i="6"/>
  <c r="P13" i="6"/>
  <c r="Q12" i="6"/>
  <c r="O12" i="6"/>
  <c r="R12" i="6"/>
  <c r="P12" i="6"/>
  <c r="Q11" i="6"/>
  <c r="O11" i="6"/>
  <c r="R11" i="6"/>
  <c r="P11" i="6"/>
  <c r="Q9" i="6"/>
  <c r="O9" i="6"/>
  <c r="R9" i="6"/>
  <c r="P9" i="6"/>
  <c r="Q8" i="6"/>
  <c r="O8" i="6"/>
  <c r="R8" i="6"/>
  <c r="P8" i="6"/>
  <c r="Q7" i="6"/>
  <c r="O7" i="6"/>
  <c r="R7" i="6"/>
  <c r="P7" i="6"/>
  <c r="Q6" i="6"/>
  <c r="O6" i="6"/>
  <c r="R6" i="6"/>
  <c r="P6" i="6"/>
  <c r="Q5" i="6"/>
  <c r="O5" i="6"/>
  <c r="R5" i="6"/>
  <c r="P5" i="6"/>
  <c r="Q4" i="6"/>
  <c r="O4" i="6"/>
  <c r="R4" i="6"/>
  <c r="P4" i="6"/>
  <c r="Q3" i="6"/>
  <c r="O3" i="6"/>
  <c r="R3" i="6"/>
  <c r="P3" i="6"/>
  <c r="S3" i="6" l="1"/>
  <c r="S4" i="6"/>
  <c r="S5" i="6"/>
  <c r="S6" i="6"/>
  <c r="S7" i="6"/>
  <c r="S8" i="6"/>
  <c r="S9" i="6"/>
  <c r="S11" i="6"/>
  <c r="S12" i="6"/>
  <c r="S13" i="6"/>
  <c r="S14" i="6"/>
  <c r="S15" i="6"/>
  <c r="S16" i="6"/>
  <c r="S17" i="6"/>
  <c r="S18" i="6"/>
  <c r="S19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Biya Rocky</author>
  </authors>
  <commentList>
    <comment ref="L1" authorId="0" shapeId="0" xr:uid="{8585E0D4-0FBC-4635-95D3-291AD2D39A1E}">
      <text>
        <r>
          <rPr>
            <sz val="11"/>
            <color theme="1"/>
            <rFont val="Calibri"/>
            <family val="2"/>
            <scheme val="minor"/>
          </rPr>
          <t>Plain English: Choose 1 for Millions or 1,000 for Billions so amounts can be shown in millions.</t>
        </r>
      </text>
    </comment>
    <comment ref="M1" authorId="0" shapeId="0" xr:uid="{22E7760F-54B0-42E4-86A7-8E13F61D0062}">
      <text>
        <r>
          <rPr>
            <sz val="11"/>
            <color theme="1"/>
            <rFont val="Calibri"/>
            <family val="2"/>
            <scheme val="minor"/>
          </rPr>
          <t>Plain English: Original Budget multiplied by Unit Factor.</t>
        </r>
      </text>
    </comment>
    <comment ref="N1" authorId="0" shapeId="0" xr:uid="{FB270D4D-D8A6-4725-9E23-268C9AB80709}">
      <text>
        <r>
          <rPr>
            <sz val="11"/>
            <color theme="1"/>
            <rFont val="Calibri"/>
            <family val="2"/>
            <scheme val="minor"/>
          </rPr>
          <t>Plain English: Original Revenue multiplied by Unit Factor.</t>
        </r>
      </text>
    </comment>
    <comment ref="O1" authorId="0" shapeId="0" xr:uid="{E84F97A1-57C7-4C7B-8CF2-BA44D726EC5E}">
      <text>
        <r>
          <rPr>
            <sz val="11"/>
            <color theme="1"/>
            <rFont val="Calibri"/>
            <family val="2"/>
            <scheme val="minor"/>
          </rPr>
          <t>Plain English: If the currency is INR, keep the amount; if USD, multiply by 80.</t>
        </r>
      </text>
    </comment>
    <comment ref="P1" authorId="0" shapeId="0" xr:uid="{107CEA2B-5FCB-4199-85F1-7B5AFB33520A}">
      <text>
        <r>
          <rPr>
            <sz val="11"/>
            <color theme="1"/>
            <rFont val="Calibri"/>
            <family val="2"/>
            <scheme val="minor"/>
          </rPr>
          <t>Plain English: If the currency is INR, keep the amount; if USD, multiply by 80.</t>
        </r>
      </text>
    </comment>
    <comment ref="Q1" authorId="0" shapeId="0" xr:uid="{E9BC7EC3-66C0-46C0-B838-1332D7C12DCC}">
      <text>
        <r>
          <rPr>
            <sz val="11"/>
            <color theme="1"/>
            <rFont val="Calibri"/>
            <family val="2"/>
            <scheme val="minor"/>
          </rPr>
          <t>Plain English: If the currency is USD, keep the amount; if INR, divide by 80.</t>
        </r>
      </text>
    </comment>
    <comment ref="R1" authorId="0" shapeId="0" xr:uid="{428B0FE6-AED1-4667-8F31-88C20465DE1B}">
      <text>
        <r>
          <rPr>
            <sz val="11"/>
            <color theme="1"/>
            <rFont val="Calibri"/>
            <family val="2"/>
            <scheme val="minor"/>
          </rPr>
          <t>Plain English: If the currency is USD, keep the amount; if INR, divide by 80.</t>
        </r>
      </text>
    </comment>
  </commentList>
</comments>
</file>

<file path=xl/sharedStrings.xml><?xml version="1.0" encoding="utf-8"?>
<sst xmlns="http://schemas.openxmlformats.org/spreadsheetml/2006/main" count="652" uniqueCount="316">
  <si>
    <t>Movie ID</t>
  </si>
  <si>
    <t>Movie Title</t>
  </si>
  <si>
    <t>Industry</t>
  </si>
  <si>
    <t>Release Year</t>
  </si>
  <si>
    <t>IMDb Rating</t>
  </si>
  <si>
    <t>Studio</t>
  </si>
  <si>
    <t>Language ID</t>
  </si>
  <si>
    <t>Budget (Original)</t>
  </si>
  <si>
    <t>Revenue (Original)</t>
  </si>
  <si>
    <t>Unit</t>
  </si>
  <si>
    <t>Currency</t>
  </si>
  <si>
    <t>Unit Factor</t>
  </si>
  <si>
    <t>Budget (Millions)</t>
  </si>
  <si>
    <t>Revenue (Millions)</t>
  </si>
  <si>
    <t>Budget (INR mm)</t>
  </si>
  <si>
    <t>Revenue (INR mm)</t>
  </si>
  <si>
    <t>Budget (USD mm)</t>
  </si>
  <si>
    <t>Revenue (USD mm)</t>
  </si>
  <si>
    <t>ROI%</t>
  </si>
  <si>
    <t>Watch Verdict</t>
  </si>
  <si>
    <t>Taare Zameen Par</t>
  </si>
  <si>
    <t>Bollywood</t>
  </si>
  <si>
    <t>Not Available</t>
  </si>
  <si>
    <t>Millions</t>
  </si>
  <si>
    <t>INR</t>
  </si>
  <si>
    <t>PK</t>
  </si>
  <si>
    <t>Vinod Chopra Films</t>
  </si>
  <si>
    <t>Kabhi Khushi Kabhie Gham</t>
  </si>
  <si>
    <t>Dharma Productions</t>
  </si>
  <si>
    <t>Munna Bhai M.B.B.S.</t>
  </si>
  <si>
    <t>Vinod Chopra Productions</t>
  </si>
  <si>
    <t>Sanju</t>
  </si>
  <si>
    <t>Billions</t>
  </si>
  <si>
    <t>The Kashmir Files</t>
  </si>
  <si>
    <t>Zee Studios</t>
  </si>
  <si>
    <t>Bajrangi Bhaijaan</t>
  </si>
  <si>
    <t>Salman Khan Films</t>
  </si>
  <si>
    <t>Shershaah</t>
  </si>
  <si>
    <t>Sholay</t>
  </si>
  <si>
    <t>United Producers</t>
  </si>
  <si>
    <t>Bajirao Mastani</t>
  </si>
  <si>
    <t>3 Idiots</t>
  </si>
  <si>
    <t>Dilwale Dulhania Le Jayenge</t>
  </si>
  <si>
    <t>Yash Raj Films</t>
  </si>
  <si>
    <t>Race 3</t>
  </si>
  <si>
    <t>Pushpa: The Rise - Part 1</t>
  </si>
  <si>
    <t>Mythri Movie Makers</t>
  </si>
  <si>
    <t>RRR</t>
  </si>
  <si>
    <t>DVV Entertainment</t>
  </si>
  <si>
    <t>Baahubali: The Beginning</t>
  </si>
  <si>
    <t>Arka Media Works</t>
  </si>
  <si>
    <t>K.G.F: Chapter 2</t>
  </si>
  <si>
    <t>Hombale Films</t>
  </si>
  <si>
    <t>Avengers: Infinity War</t>
  </si>
  <si>
    <t>Hollywood</t>
  </si>
  <si>
    <t>Marvel Studios</t>
  </si>
  <si>
    <t>USD</t>
  </si>
  <si>
    <t>Inception</t>
  </si>
  <si>
    <t>Warner Bros. Pictures</t>
  </si>
  <si>
    <t>Captain America: The Winter Soldier</t>
  </si>
  <si>
    <t>Captain America: The First Avenger</t>
  </si>
  <si>
    <t>Avengers: Endgame</t>
  </si>
  <si>
    <t>Interstellar</t>
  </si>
  <si>
    <t>The Shawshank Redemption</t>
  </si>
  <si>
    <t>Castle Rock Entertainment</t>
  </si>
  <si>
    <t>Gladiator</t>
  </si>
  <si>
    <t>Universal Pictures</t>
  </si>
  <si>
    <t>The Pursuit of Happyness</t>
  </si>
  <si>
    <t>Columbia Pictures</t>
  </si>
  <si>
    <t>Thor: The Dark World</t>
  </si>
  <si>
    <t>Doctor Strange in the Multiverse of Madness</t>
  </si>
  <si>
    <t>Thor: Love and Thunder</t>
  </si>
  <si>
    <t>Thor: Ragnarok</t>
  </si>
  <si>
    <t>Titanic</t>
  </si>
  <si>
    <t>Paramount Pictures</t>
  </si>
  <si>
    <t>Schindler's List</t>
  </si>
  <si>
    <t>Jurassic Park</t>
  </si>
  <si>
    <t>Parasite</t>
  </si>
  <si>
    <t>The Dark Knight</t>
  </si>
  <si>
    <t>Syncopy</t>
  </si>
  <si>
    <t>It's a Wonderful Life</t>
  </si>
  <si>
    <t>Liberty Films</t>
  </si>
  <si>
    <t>Avatar</t>
  </si>
  <si>
    <t>20th Century Fox</t>
  </si>
  <si>
    <t>The Godfather</t>
  </si>
  <si>
    <t>Pather Panchali</t>
  </si>
  <si>
    <t>Government of West Bengal</t>
  </si>
  <si>
    <t>Thugs of Hindostan</t>
  </si>
  <si>
    <t>Shamshera</t>
  </si>
  <si>
    <t>Cats</t>
  </si>
  <si>
    <t>Mortal Engines</t>
  </si>
  <si>
    <t>movie_id_title</t>
  </si>
  <si>
    <t>industry</t>
  </si>
  <si>
    <t>release_year</t>
  </si>
  <si>
    <t>imdb_rating</t>
  </si>
  <si>
    <t>studio</t>
  </si>
  <si>
    <t>language_id</t>
  </si>
  <si>
    <t>101:K.G.F: Chapter 2</t>
  </si>
  <si>
    <t>102:Doctor Strange in the Multiverse of Madness</t>
  </si>
  <si>
    <t>103:Thor: The Dark World</t>
  </si>
  <si>
    <t>104:Thor: Ragnarok</t>
  </si>
  <si>
    <t>105:Thor: Love and Thunder</t>
  </si>
  <si>
    <t>106:Sholay</t>
  </si>
  <si>
    <t>107:Dilwale Dulhania Le Jayenge</t>
  </si>
  <si>
    <t>108:3 Idiots</t>
  </si>
  <si>
    <t>109:Kabhi Khushi Kabhie Gham</t>
  </si>
  <si>
    <t>110:Bajirao Mastani</t>
  </si>
  <si>
    <t>111:The Shawshank Redemption</t>
  </si>
  <si>
    <t>112:Inception</t>
  </si>
  <si>
    <t>113:Interstellar</t>
  </si>
  <si>
    <t>115:The Pursuit of Happyness</t>
  </si>
  <si>
    <t>116:Gladiator</t>
  </si>
  <si>
    <t>117:Titanic</t>
  </si>
  <si>
    <t>118:It's a Wonderful Life</t>
  </si>
  <si>
    <t>119:Avatar</t>
  </si>
  <si>
    <t>120:The Godfather</t>
  </si>
  <si>
    <t>121:The Dark Knight</t>
  </si>
  <si>
    <t>122:Schindler's List</t>
  </si>
  <si>
    <t>123:Jurassic Park</t>
  </si>
  <si>
    <t>124:Parasite</t>
  </si>
  <si>
    <t>125:Avengers: Endgame</t>
  </si>
  <si>
    <t>126:Avengers: Infinity War</t>
  </si>
  <si>
    <t>127:Pather Panchali</t>
  </si>
  <si>
    <t>128:Taare Zameen Par</t>
  </si>
  <si>
    <t>129:Munna Bhai M.B.B.S.</t>
  </si>
  <si>
    <t>130:PK</t>
  </si>
  <si>
    <t>131:Sanju</t>
  </si>
  <si>
    <t>132:Pushpa: The Rise - Part 1</t>
  </si>
  <si>
    <t>133:RRR</t>
  </si>
  <si>
    <t>134:Baahubali: The Beginning</t>
  </si>
  <si>
    <t>135:The Kashmir Files</t>
  </si>
  <si>
    <t>136:Bajrangi Bhaijaan</t>
  </si>
  <si>
    <t>137:Captain America: The First Avenger</t>
  </si>
  <si>
    <t>138:Captain America: The Winter Soldier</t>
  </si>
  <si>
    <t>139:Race 3</t>
  </si>
  <si>
    <t>140:Shershaah</t>
  </si>
  <si>
    <t>141:Thugs of Hindostan</t>
  </si>
  <si>
    <t>142:Shamshera</t>
  </si>
  <si>
    <t>143:Cats</t>
  </si>
  <si>
    <t>144:Mortal Engines</t>
  </si>
  <si>
    <t>Step</t>
  </si>
  <si>
    <t>What to do</t>
  </si>
  <si>
    <t>Where to check</t>
  </si>
  <si>
    <t>Calculation</t>
  </si>
  <si>
    <t>Plain-English formula</t>
  </si>
  <si>
    <t>What it means</t>
  </si>
  <si>
    <t>Understand how the movie, financial, and language sheets connect.</t>
  </si>
  <si>
    <t>MovieFinancials!A1:R44</t>
  </si>
  <si>
    <t>Millions = 1; Billions = 1,000</t>
  </si>
  <si>
    <t>Converts the original amount into millions.</t>
  </si>
  <si>
    <t>Treat movie details and original budget and revenue fields as entered data.</t>
  </si>
  <si>
    <t>MovieFinancials!A1:K44</t>
  </si>
  <si>
    <t>Budget × Unit Factor</t>
  </si>
  <si>
    <t>Changes the budget into millions.</t>
  </si>
  <si>
    <t>Treat the conversion columns as calculated results.</t>
  </si>
  <si>
    <t>MovieFinancials!L1:R44</t>
  </si>
  <si>
    <t>Revenue × Unit Factor</t>
  </si>
  <si>
    <t>Changes the revenue into millions.</t>
  </si>
  <si>
    <t>Convert the budget to millions using the unit factor.</t>
  </si>
  <si>
    <t>MovieFinancials!H1:M44</t>
  </si>
  <si>
    <t>INR: same amount; USD: amount × 80</t>
  </si>
  <si>
    <t>Shows budget in Indian rupees, in millions.</t>
  </si>
  <si>
    <t>Convert INR amounts to USD by dividing by 80; leave USD amounts unchanged.</t>
  </si>
  <si>
    <t>MovieFinancials!K1:Q44</t>
  </si>
  <si>
    <t>Shows revenue in Indian rupees, in millions.</t>
  </si>
  <si>
    <t>Use ₹80 for every $1 in this dataset.</t>
  </si>
  <si>
    <t>USD: same amount; INR: amount ÷ 80</t>
  </si>
  <si>
    <t>Shows budget in US dollars, in millions.</t>
  </si>
  <si>
    <t>Check that the converted budget values match the calculation.</t>
  </si>
  <si>
    <t>MovieFinancials!H2:Q44</t>
  </si>
  <si>
    <t>Shows revenue in US dollars, in millions.</t>
  </si>
  <si>
    <t>Note that the calculated results are currently typed in, not formula-driven.</t>
  </si>
  <si>
    <t>Later, replace the typed results with formulas so they update automatically.</t>
  </si>
  <si>
    <t>MovieFinancials!H1:R44</t>
  </si>
  <si>
    <t>Why are there commas and quotation marks?</t>
  </si>
  <si>
    <t>They are Excel grammar, not extra business rules.</t>
  </si>
  <si>
    <t>Quotation marks show that Millions, Billions, and INR are words. Commas separate the choices Excel must make. The shorter formulas now use fewer instructions.</t>
  </si>
  <si>
    <t>Fix the missing movie ID for Taare Zameen Par; it should be 128.</t>
  </si>
  <si>
    <t>MovieFinancials!A2:B2; movies!A28:F28</t>
  </si>
  <si>
    <t>Simplified formula logic</t>
  </si>
  <si>
    <t>Budget in INR = Budget in millions; Budget in USD = Budget in millions ÷ 80.</t>
  </si>
  <si>
    <t>The formulas use the currency to choose the correct conversion automatically.</t>
  </si>
  <si>
    <t>Investigate the missing financial data for Sholay.</t>
  </si>
  <si>
    <t>MovieFinancials!A10:R10</t>
  </si>
  <si>
    <t>Important note</t>
  </si>
  <si>
    <t>The formulas must still use Excel syntax to work.</t>
  </si>
  <si>
    <t>A common reader can follow the plain-English formulas here without reading the technical Excel code.</t>
  </si>
  <si>
    <t>Investigate the missing financial data for Inception.</t>
  </si>
  <si>
    <t>MovieFinancials!A20:R20</t>
  </si>
  <si>
    <t>Use one consistent label for missing values instead of mixing blanks, NULL, and Not Available.</t>
  </si>
  <si>
    <t>MovieFinancials!E6:F6; MovieFinancials!F2:F35</t>
  </si>
  <si>
    <t>Review the duplicate Thor: Love and Thunder record.</t>
  </si>
  <si>
    <t>movies!A6:F6; movies!A31:F31</t>
  </si>
  <si>
    <t>Review the duplicate Parasite record.</t>
  </si>
  <si>
    <t>movies!A24:F24; movies!A30:F30</t>
  </si>
  <si>
    <t>Check financial records for movie IDs 114, 406, and 412 because their movie records are missing.</t>
  </si>
  <si>
    <t>financials!A1:E45</t>
  </si>
  <si>
    <t>Fix the movie ID 128 mismatch between the movie and combined sheets.</t>
  </si>
  <si>
    <t>movies!A28:F28; MovieFinancials!A1:R44</t>
  </si>
  <si>
    <t>Check movie IDs 106 and 112 because their financial details are missing.</t>
  </si>
  <si>
    <t>MovieFinancials!A10:R20</t>
  </si>
  <si>
    <t>Confirm that the unused Column1 field has been removed from the movies sheet.</t>
  </si>
  <si>
    <t>movies!G1:G46</t>
  </si>
  <si>
    <t>Remove extra spaces from movie titles and studio names.</t>
  </si>
  <si>
    <t>movies!A4:E9</t>
  </si>
  <si>
    <t>Check that every financial movie ID matches a movie record.</t>
  </si>
  <si>
    <t>movies!A1:F46; financials!A1:E45; MovieFinancials!A1:R44</t>
  </si>
  <si>
    <t>Check that movies with expected financial data have matching financial records.</t>
  </si>
  <si>
    <t>movies!A1:F46; financials!A1:E45</t>
  </si>
  <si>
    <t>Allow only Millions or Billions as valid units.</t>
  </si>
  <si>
    <t>financials!D1:D45</t>
  </si>
  <si>
    <t>Allow only INR or USD as valid currencies.</t>
  </si>
  <si>
    <t>financials!E1:E45</t>
  </si>
  <si>
    <t>Check that IMDb ratings are numbers between 0 and 10.</t>
  </si>
  <si>
    <t>movies!D1:D46</t>
  </si>
  <si>
    <t>movie_id</t>
  </si>
  <si>
    <t>budget</t>
  </si>
  <si>
    <t>revenue</t>
  </si>
  <si>
    <t>unit</t>
  </si>
  <si>
    <t>currency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</si>
  <si>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</si>
  <si>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</si>
  <si>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</si>
  <si>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</si>
  <si>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</si>
  <si>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</si>
  <si>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</si>
  <si>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</si>
  <si>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</si>
  <si>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</si>
  <si>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</si>
  <si>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</si>
  <si>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</si>
  <si>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</si>
  <si>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</si>
  <si>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</si>
  <si>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</si>
  <si>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</si>
  <si>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</si>
  <si>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</si>
  <si>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</si>
  <si>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</si>
  <si>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</si>
  <si>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</si>
  <si>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</si>
  <si>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</si>
  <si>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</si>
  <si>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</si>
  <si>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</si>
  <si>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</si>
  <si>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</si>
  <si>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</si>
  <si>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</si>
  <si>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</si>
  <si>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</si>
  <si>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</si>
  <si>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</si>
  <si>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</si>
  <si>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</si>
  <si>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</si>
  <si>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</si>
  <si>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</si>
  <si>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</si>
  <si>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</si>
  <si>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</si>
  <si>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</si>
  <si>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</si>
  <si>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</si>
  <si>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</si>
  <si>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</si>
  <si>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</si>
  <si>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</si>
  <si>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</si>
  <si>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</si>
  <si>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</si>
  <si>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</si>
  <si>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</si>
  <si>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</si>
  <si>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</si>
  <si>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</si>
  <si>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</si>
  <si>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</si>
  <si>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</si>
  <si>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</si>
  <si>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</si>
  <si>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</si>
  <si>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</si>
  <si>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</si>
  <si>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</si>
  <si>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</si>
  <si>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</si>
  <si>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</si>
  <si>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</si>
  <si>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</si>
  <si>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</si>
  <si>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</si>
  <si>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</si>
  <si>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</si>
  <si>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Language Name</t>
  </si>
  <si>
    <t>Number of Movies</t>
  </si>
  <si>
    <t>Average IMDb Rating</t>
  </si>
  <si>
    <t>Total Profit (USD mm)</t>
  </si>
  <si>
    <t>Check</t>
  </si>
  <si>
    <t>What I did</t>
  </si>
  <si>
    <t>Result</t>
  </si>
  <si>
    <t>Row count</t>
  </si>
  <si>
    <t>Compared total movies in MovieFinancials with total language-summary movie count</t>
  </si>
  <si>
    <r>
      <t xml:space="preserve">Both totals matched at </t>
    </r>
    <r>
      <rPr>
        <b/>
        <sz val="11"/>
        <color theme="1"/>
        <rFont val="Calibri"/>
        <family val="2"/>
        <scheme val="minor"/>
      </rPr>
      <t>43 movies</t>
    </r>
  </si>
  <si>
    <t>One Value by hand</t>
  </si>
  <si>
    <t>Calculated ROI for The Godfather manually</t>
  </si>
  <si>
    <t>Grand total vs sum of parts</t>
  </si>
  <si>
    <t>Compared the movie count for each language in the Langusge Summary against the corresponding records in MovieFinancials</t>
  </si>
  <si>
    <t>Movies counts matched across the languages checked, confirming that the summary correactly reflects the data</t>
  </si>
  <si>
    <t>FIlter stress test</t>
  </si>
  <si>
    <t>Filtered watch verdict to show only must watch movies and checked a few IMDb ratings against the rule</t>
  </si>
  <si>
    <t>All displayed movies had an IMDb rating of 8 or above, confirming the formula worked correcly after filetring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</si>
</sst>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\(#,##0.0\);\-"/>
  </numFmts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1D233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2" fillId="3" borderId="1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0" xfId="0" applyNumberFormat="1" applyFont="1" applyFill="1" applyAlignment="1">
      <alignment horizontal="left" wrapText="1"/>
    </xf>
    <xf numFmtId="0" fontId="3" fillId="4" borderId="0" xfId="0" applyNumberFormat="1" applyFont="1" applyFill="1" applyAlignment="1">
      <alignment horizontal="left"/>
    </xf>
    <xf numFmtId="0" fontId="0" fillId="0" borderId="0" xfId="0" applyNumberFormat="1"/>
    <xf numFmtId="9" fontId="3" fillId="4" borderId="0" xfId="0" applyNumberFormat="1" applyFont="1" applyFill="1" applyAlignment="1">
      <alignment horizontal="right"/>
    </xf>
    <xf numFmtId="10" fontId="0" fillId="0" borderId="0" xfId="0" applyNumberFormat="1"/>
    <xf numFmtId="1" fontId="3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5" fontId="0" fillId="0" borderId="0" xfId="0" applyNumberFormat="1"/>
    <xf numFmtId="0" fontId="0" fillId="0" borderId="0" xfId="0" applyAlignment="1">
      <alignment readingOrder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,##0.0;\(#,##0.0\);\-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numFmt numFmtId="0" formatCode="General"/>
    </dxf>
    <dxf>
      <border>
        <bottom style="thick">
          <color rgb="FF1D23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0" formatCode="General"/>
      <fill>
        <patternFill patternType="solid">
          <fgColor indexed="64"/>
          <bgColor rgb="FF1D233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rgb="FF000000"/>
        <name val="Calibri"/>
      </font>
      <numFmt numFmtId="13" formatCode="0%"/>
      <fill>
        <patternFill patternType="solid">
          <fgColor indexed="64"/>
          <bgColor rgb="FFFFFFFF"/>
        </patternFill>
      </fill>
      <alignment horizontal="right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thick">
          <color rgb="FF1D2330"/>
        </bottom>
      </border>
    </dxf>
    <dxf>
      <font>
        <b/>
        <i val="0"/>
        <strike val="0"/>
        <u val="none"/>
        <sz val="11"/>
        <color rgb="FFFFFFFF"/>
        <name val="Calibri"/>
      </font>
      <numFmt numFmtId="0" formatCode="General"/>
      <fill>
        <patternFill patternType="solid">
          <fgColor indexed="64"/>
          <bgColor rgb="FF1D2330"/>
        </patternFill>
      </fill>
      <alignment horizontal="center"/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C00000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Language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'Language Summary'!$G$20</c:f>
              <c:strCache>
                <c:ptCount val="1"/>
                <c:pt idx="0">
                  <c:v>Total Profit (USD 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'Language Summary'!$F$21:$F$28</c:f>
              <c:strCache>
                <c:ptCount val="8"/>
                <c:pt idx="0">
                  <c:v>English</c:v>
                </c:pt>
                <c:pt idx="1">
                  <c:v>Hindi</c:v>
                </c:pt>
                <c:pt idx="2">
                  <c:v>Telugu</c:v>
                </c:pt>
                <c:pt idx="3">
                  <c:v>Kannada</c:v>
                </c:pt>
                <c:pt idx="4">
                  <c:v>Bengali</c:v>
                </c:pt>
                <c:pt idx="5">
                  <c:v>Tamil</c:v>
                </c:pt>
                <c:pt idx="6">
                  <c:v>French</c:v>
                </c:pt>
                <c:pt idx="7">
                  <c:v>Gujarati</c:v>
                </c:pt>
              </c:strCache>
            </c:strRef>
          </c:cat>
          <c:val>
            <c:numRef>
              <c:f>'Language Summary'!$G$21:$G$28</c:f>
              <c:numCache>
                <c:formatCode>#,##0.0;\(#,##0.0\);\-</c:formatCode>
                <c:ptCount val="8"/>
                <c:pt idx="0">
                  <c:v>15472.320000000002</c:v>
                </c:pt>
                <c:pt idx="1">
                  <c:v>444.98749999999995</c:v>
                </c:pt>
                <c:pt idx="2">
                  <c:v>160</c:v>
                </c:pt>
                <c:pt idx="3">
                  <c:v>143.75</c:v>
                </c:pt>
                <c:pt idx="4">
                  <c:v>0.375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B-41DA-AFCE-589544014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987207"/>
        <c:axId val="2096819207"/>
      </c:barChart>
      <c:catAx>
        <c:axId val="2095987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19207"/>
        <c:crosses val="autoZero"/>
        <c:auto val="1"/>
        <c:lblAlgn val="ctr"/>
        <c:lblOffset val="100"/>
        <c:noMultiLvlLbl val="0"/>
      </c:catAx>
      <c:valAx>
        <c:axId val="20968192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\(#,##0.0\);\-" sourceLinked="1"/>
        <c:majorTickMark val="none"/>
        <c:minorTickMark val="none"/>
        <c:tickLblPos val="nextTo"/>
        <c:crossAx val="2095987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0</xdr:row>
      <xdr:rowOff>161925</xdr:rowOff>
    </xdr:from>
    <xdr:to>
      <xdr:col>17</xdr:col>
      <xdr:colOff>333375</xdr:colOff>
      <xdr:row>18</xdr:row>
      <xdr:rowOff>19050</xdr:rowOff>
    </xdr:to>
    <xdr:graphicFrame macro="">
      <xdr:nvGraphicFramePr>
        <xdr:cNvPr id="2" name="ProfitByLanguage">
          <a:extLst>
            <a:ext uri="{FF2B5EF4-FFF2-40B4-BE49-F238E27FC236}">
              <a16:creationId xmlns:a16="http://schemas.microsoft.com/office/drawing/2014/main" id="{BABBBF95-1EBB-1AB3-6523-A6D2ED1B7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8A301C-31B7-4538-BFA0-902CE1C165EA}" name="MovieFinancials" displayName="MovieFinancials" ref="A1:T44" totalsRowShown="0" headerRowDxfId="21" headerRowBorderDxfId="20">
  <autoFilter ref="A1:T44" xr:uid="{AB8A301C-31B7-4538-BFA0-902CE1C165EA}"/>
  <tableColumns count="20">
    <tableColumn id="1" xr3:uid="{270B3ABB-4405-4AEC-9E19-AD9E7ABD1B38}" name="Movie ID" dataDxfId="19"/>
    <tableColumn id="2" xr3:uid="{4C9ABF98-463C-4D01-A892-C884AB9CCE78}" name="Movie Title" dataDxfId="18"/>
    <tableColumn id="3" xr3:uid="{11A3BD59-D839-480F-AC04-43FFBDD7CB19}" name="Industry" dataDxfId="17"/>
    <tableColumn id="4" xr3:uid="{97AE1618-F6C8-44CA-9292-5EDF3A1282B1}" name="Release Year"/>
    <tableColumn id="5" xr3:uid="{FA10499C-4F4D-4DEF-886E-5C6CFF6265FD}" name="IMDb Rating"/>
    <tableColumn id="6" xr3:uid="{D64F77CB-7D69-406D-8CBB-D88D52FB3185}" name="Studio" dataDxfId="16"/>
    <tableColumn id="7" xr3:uid="{514832FC-C2BF-4A83-9E33-A98A0F599C0B}" name="Language ID"/>
    <tableColumn id="8" xr3:uid="{02FCA80C-8512-4E6A-92BD-7C77EFE4E840}" name="Budget (Original)"/>
    <tableColumn id="9" xr3:uid="{EA78B154-A6D6-4D00-B8E2-EC2CC9D0E314}" name="Revenue (Original)"/>
    <tableColumn id="10" xr3:uid="{987B2C59-F816-47E3-8125-FDF6C8BDB8FB}" name="Unit" dataDxfId="15"/>
    <tableColumn id="11" xr3:uid="{F884BB01-9CC6-4BF5-B372-87F72749ACE4}" name="Currency" dataDxfId="14"/>
    <tableColumn id="12" xr3:uid="{2A8BAF27-30A8-4978-B2CF-9726DC333651}" name="Unit Factor"/>
    <tableColumn id="13" xr3:uid="{688346F4-F748-4782-810F-4FA6910C90DF}" name="Budget (Millions)"/>
    <tableColumn id="14" xr3:uid="{FA465783-9663-4DB7-AF75-DF892F2D2423}" name="Revenue (Millions)"/>
    <tableColumn id="15" xr3:uid="{0F0523C9-A9BE-43BD-986A-B66FE2B56F6A}" name="Budget (INR mm)"/>
    <tableColumn id="16" xr3:uid="{5586A591-E279-4DD9-9DC0-4249B73A8738}" name="Revenue (INR mm)"/>
    <tableColumn id="17" xr3:uid="{367E51BA-0ADC-4B16-9981-0CF052AB1BD9}" name="Budget (USD mm)"/>
    <tableColumn id="18" xr3:uid="{3C13F0F7-FA46-4F8F-819F-82311A9A7999}" name="Revenue (USD mm)"/>
    <tableColumn id="19" xr3:uid="{86194C02-0CED-419E-8638-BC9C082DACF9}" name="ROI%" dataDxfId="13">
      <calculatedColumnFormula>IF(OR(Q2="",R2="",Q2=0),"",(R2-Q2)/Q2)</calculatedColumnFormula>
    </tableColumn>
    <tableColumn id="20" xr3:uid="{913F378D-9D6E-4CA6-9445-438CB76E0170}" name="Watch Verdict" dataDxfId="12">
      <calculatedColumnFormula>IF(OR(E2="",E2=0),"Not Rated",IF(E2&gt;=8,"Must Watch",IF(E2&gt;=6,"Worth a watch","Skip")))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F44" totalsRowShown="0" headerRowDxfId="11">
  <autoFilter ref="A1:F44" xr:uid="{6A7FE39D-5614-4A7F-89B7-C167ABC0A251}"/>
  <tableColumns count="6">
    <tableColumn id="1" xr3:uid="{5E453F0D-B27C-433C-BF11-BA3FE1A6822E}" name="movie_id_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5" totalsRowShown="0" headerRowDxfId="10">
  <autoFilter ref="A1:E45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9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8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7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439809-E2C0-4316-A637-5410E1A514AB}" name="LanguageSummary" displayName="LanguageSummary" ref="A1:D9" totalsRowShown="0" headerRowDxfId="6" dataDxfId="5" headerRowBorderDxfId="4">
  <autoFilter ref="A1:D9" xr:uid="{8A439809-E2C0-4316-A637-5410E1A514AB}"/>
  <tableColumns count="4">
    <tableColumn id="1" xr3:uid="{564F854D-8148-4A84-9DE7-2933FA52E7F3}" name="Language Name" dataDxfId="3">
      <calculatedColumnFormula>languages!B4</calculatedColumnFormula>
    </tableColumn>
    <tableColumn id="2" xr3:uid="{95CC7075-968A-47E1-86CB-1829BE44FCA2}" name="Number of Movies" dataDxfId="2">
      <calculatedColumnFormula>COUNTIF(MovieFinancials!$G$2:$G$44,languages!A4)</calculatedColumnFormula>
    </tableColumn>
    <tableColumn id="3" xr3:uid="{E6E31490-CF07-451C-81C7-F25E93462EF3}" name="Average IMDb Rating" dataDxfId="1">
      <calculatedColumnFormula>IFERROR(AVERAGEIFS(MovieFinancials!$E$2:$E$44,MovieFinancials!$G$2:$G$44,languages!A4,MovieFinancials!$E$2:$E$44,"&gt;0"),"")</calculatedColumnFormula>
    </tableColumn>
    <tableColumn id="4" xr3:uid="{5B9473D2-8FE5-40CC-BDC6-CE6E6130ED1E}" name="Total Profit (USD mm)" dataDxfId="0">
      <calculatedColumnFormula>SUMIFS(MovieFinancials!$R$2:$R$44,MovieFinancials!$G$2:$G$44,languages!A4)-SUMIFS(MovieFinancials!$Q$2:$Q$44,MovieFinancials!$G$2:$G$44,languages!A4)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  <wetp:taskpane dockstate="right" visibility="1" width="350" row="0">
    <wetp:webextensionref xmlns:r="http://schemas.openxmlformats.org/officeDocument/2006/relationships" r:id="rId3"/>
  </wetp:taskpane>
  <wetp:taskpane dockstate="right" visibility="0" width="350" row="0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D40F9F04-2C68-4F1F-8FAA-F8482DFBFE0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8c86c371-f910-47a8-866c-595456e0886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055C0188-2C86-442A-A0E7-1E2ABA42E956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adcd6312-6925-4a3c-b5ea-4f165f35923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1D1585E6-2EB5-4263-9A98-3C08DFED0D89}">
  <we:reference id="WA200005502" version="1.0.0.13" store="en-US" storeType="omex"/>
  <we:alternateReferences>
    <we:reference id="WA200005502" version="1.0.0.13" store="en-US" storeType="omex"/>
  </we:alternateReferences>
  <we:properties>
    <we:property name="docId" value="&quot;rMBrQS4c3iSUxXiidw-h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4.xml><?xml version="1.0" encoding="utf-8"?>
<we:webextension xmlns:we="http://schemas.microsoft.com/office/webextensions/webextension/2010/11" id="{BA45A314-FB31-4F62-8D6E-96DBEE431112}">
  <we:reference id="WA200010215" version="2.0.0.1" store="en-GB" storeType="omex"/>
  <we:alternateReferences>
    <we:reference id="WA200010215" version="2.0.0.1" store="en-GB" storeType="omex"/>
  </we:alternateReferences>
  <we:properties>
    <we:property name="bps.codex_control.document_id" value="&quot;c765ea82-4441-4da5-9153-d5e4256719a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FF5B-57FE-4F41-8972-B41805E9BC4B}">
  <dimension ref="A1:W49"/>
  <sheetViews>
    <sheetView topLeftCell="I16" workbookViewId="0">
      <selection activeCell="W4" sqref="W4"/>
    </sheetView>
  </sheetViews>
  <sheetFormatPr defaultRowHeight="15"/>
  <cols>
    <col min="1" max="1" width="11.42578125" bestFit="1" customWidth="1"/>
    <col min="2" max="2" width="41.140625" bestFit="1" customWidth="1"/>
    <col min="3" max="3" width="10.85546875" bestFit="1" customWidth="1"/>
    <col min="4" max="4" width="14.85546875" bestFit="1" customWidth="1"/>
    <col min="5" max="5" width="14.5703125" bestFit="1" customWidth="1"/>
    <col min="6" max="6" width="26.42578125" bestFit="1" customWidth="1"/>
    <col min="7" max="7" width="14.28515625" bestFit="1" customWidth="1"/>
    <col min="8" max="8" width="18.7109375" bestFit="1" customWidth="1"/>
    <col min="9" max="9" width="20.28515625" bestFit="1" customWidth="1"/>
    <col min="10" max="10" width="8" bestFit="1" customWidth="1"/>
    <col min="11" max="11" width="11.42578125" bestFit="1" customWidth="1"/>
    <col min="12" max="12" width="13.28515625" hidden="1" customWidth="1"/>
    <col min="13" max="13" width="18.85546875" bestFit="1" customWidth="1"/>
    <col min="14" max="14" width="20.42578125" bestFit="1" customWidth="1"/>
    <col min="15" max="15" width="18.85546875" bestFit="1" customWidth="1"/>
    <col min="16" max="16" width="20.42578125" bestFit="1" customWidth="1"/>
    <col min="17" max="17" width="19.42578125" bestFit="1" customWidth="1"/>
    <col min="18" max="18" width="21" bestFit="1" customWidth="1"/>
    <col min="19" max="19" width="8.28515625" bestFit="1" customWidth="1"/>
    <col min="20" max="20" width="16.28515625" bestFit="1" customWidth="1"/>
    <col min="23" max="23" width="9.7109375" bestFit="1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3">
      <c r="A2" s="8">
        <v>128</v>
      </c>
      <c r="B2" t="s">
        <v>20</v>
      </c>
      <c r="C2" t="s">
        <v>21</v>
      </c>
      <c r="D2">
        <v>2007</v>
      </c>
      <c r="E2">
        <v>8.3000000000000007</v>
      </c>
      <c r="F2" t="s">
        <v>22</v>
      </c>
      <c r="G2">
        <v>1</v>
      </c>
      <c r="H2">
        <v>120</v>
      </c>
      <c r="I2">
        <v>1350</v>
      </c>
      <c r="J2" t="s">
        <v>23</v>
      </c>
      <c r="K2" t="s">
        <v>24</v>
      </c>
      <c r="L2">
        <f>IF(J2="","",IF(J2="Billions",1000,1))</f>
        <v>1</v>
      </c>
      <c r="M2">
        <f>IF(H2="","",H2*L2)</f>
        <v>120</v>
      </c>
      <c r="N2">
        <f>IF(I2="","",I2*L2)</f>
        <v>1350</v>
      </c>
      <c r="O2">
        <f>IF(M2="","",IF(K2="INR",M2,M2*80))</f>
        <v>120</v>
      </c>
      <c r="P2">
        <f>IF(N2="","",IF(K2="INR",N2,N2*80))</f>
        <v>1350</v>
      </c>
      <c r="Q2">
        <f>IF(M2="","",IF(K2="INR",M2/80,M2))</f>
        <v>1.5</v>
      </c>
      <c r="R2">
        <f>IF(N2="","",IF(K2="INR",N2/80,N2))</f>
        <v>16.875</v>
      </c>
      <c r="S2" s="9">
        <f t="shared" ref="S2:S44" si="0">IF(OR(Q2="",R2="",Q2=0),"",(R2-Q2)/Q2)</f>
        <v>10.25</v>
      </c>
      <c r="T2" t="str">
        <f t="shared" ref="T2:T44" si="1">IF(OR(E2="",E2=0),"Not Rated",IF(E2&gt;=8,"Must Watch",IF(E2&gt;=6,"Worth a watch","Skip")))</f>
        <v>Must Watch</v>
      </c>
    </row>
    <row r="3" spans="1:23">
      <c r="A3">
        <v>130</v>
      </c>
      <c r="B3" t="s">
        <v>25</v>
      </c>
      <c r="C3" t="s">
        <v>21</v>
      </c>
      <c r="D3">
        <v>2014</v>
      </c>
      <c r="E3">
        <v>8.1</v>
      </c>
      <c r="F3" t="s">
        <v>26</v>
      </c>
      <c r="G3">
        <v>1</v>
      </c>
      <c r="H3">
        <v>850</v>
      </c>
      <c r="I3">
        <v>8540</v>
      </c>
      <c r="J3" t="s">
        <v>23</v>
      </c>
      <c r="K3" t="s">
        <v>24</v>
      </c>
      <c r="L3">
        <f t="shared" ref="L3:L44" si="2">IF(J3="","",IF(J3="Billions",1000,1))</f>
        <v>1</v>
      </c>
      <c r="M3">
        <f t="shared" ref="M3:M44" si="3">IF(H3="","",H3*L3)</f>
        <v>850</v>
      </c>
      <c r="N3">
        <f t="shared" ref="N3:N44" si="4">IF(I3="","",I3*L3)</f>
        <v>8540</v>
      </c>
      <c r="O3">
        <f t="shared" ref="O3:O44" si="5">IF(M3="","",IF(K3="INR",M3,M3*80))</f>
        <v>850</v>
      </c>
      <c r="P3">
        <f t="shared" ref="P3:P44" si="6">IF(N3="","",IF(K3="INR",N3,N3*80))</f>
        <v>8540</v>
      </c>
      <c r="Q3">
        <f t="shared" ref="Q3:Q44" si="7">IF(M3="","",IF(K3="INR",M3/80,M3))</f>
        <v>10.625</v>
      </c>
      <c r="R3">
        <f t="shared" ref="R3:R44" si="8">IF(N3="","",IF(K3="INR",N3/80,N3))</f>
        <v>106.75</v>
      </c>
      <c r="S3" s="9">
        <f t="shared" si="0"/>
        <v>9.0470588235294116</v>
      </c>
      <c r="T3" t="str">
        <f t="shared" si="1"/>
        <v>Must Watch</v>
      </c>
    </row>
    <row r="4" spans="1:23">
      <c r="A4">
        <v>109</v>
      </c>
      <c r="B4" t="s">
        <v>27</v>
      </c>
      <c r="C4" t="s">
        <v>21</v>
      </c>
      <c r="D4">
        <v>2001</v>
      </c>
      <c r="E4">
        <v>7.4</v>
      </c>
      <c r="F4" t="s">
        <v>28</v>
      </c>
      <c r="G4">
        <v>1</v>
      </c>
      <c r="H4">
        <v>390</v>
      </c>
      <c r="I4">
        <v>1360</v>
      </c>
      <c r="J4" t="s">
        <v>23</v>
      </c>
      <c r="K4" t="s">
        <v>24</v>
      </c>
      <c r="L4">
        <f t="shared" si="2"/>
        <v>1</v>
      </c>
      <c r="M4">
        <f t="shared" si="3"/>
        <v>390</v>
      </c>
      <c r="N4">
        <f t="shared" si="4"/>
        <v>1360</v>
      </c>
      <c r="O4">
        <f t="shared" si="5"/>
        <v>390</v>
      </c>
      <c r="P4">
        <f t="shared" si="6"/>
        <v>1360</v>
      </c>
      <c r="Q4">
        <f t="shared" si="7"/>
        <v>4.875</v>
      </c>
      <c r="R4">
        <f t="shared" si="8"/>
        <v>17</v>
      </c>
      <c r="S4" s="9">
        <f t="shared" si="0"/>
        <v>2.4871794871794872</v>
      </c>
      <c r="T4" t="str">
        <f t="shared" si="1"/>
        <v>Worth a watch</v>
      </c>
      <c r="W4" s="10"/>
    </row>
    <row r="5" spans="1:23">
      <c r="A5">
        <v>129</v>
      </c>
      <c r="B5" t="s">
        <v>29</v>
      </c>
      <c r="C5" t="s">
        <v>21</v>
      </c>
      <c r="D5">
        <v>2003</v>
      </c>
      <c r="E5">
        <v>8.1</v>
      </c>
      <c r="F5" t="s">
        <v>30</v>
      </c>
      <c r="G5">
        <v>1</v>
      </c>
      <c r="H5">
        <v>100</v>
      </c>
      <c r="I5">
        <v>410</v>
      </c>
      <c r="J5" t="s">
        <v>23</v>
      </c>
      <c r="K5" t="s">
        <v>24</v>
      </c>
      <c r="L5">
        <f t="shared" si="2"/>
        <v>1</v>
      </c>
      <c r="M5">
        <f t="shared" si="3"/>
        <v>100</v>
      </c>
      <c r="N5">
        <f t="shared" si="4"/>
        <v>410</v>
      </c>
      <c r="O5">
        <f t="shared" si="5"/>
        <v>100</v>
      </c>
      <c r="P5">
        <f t="shared" si="6"/>
        <v>410</v>
      </c>
      <c r="Q5">
        <f t="shared" si="7"/>
        <v>1.25</v>
      </c>
      <c r="R5">
        <f t="shared" si="8"/>
        <v>5.125</v>
      </c>
      <c r="S5" s="9">
        <f t="shared" si="0"/>
        <v>3.1</v>
      </c>
      <c r="T5" t="str">
        <f t="shared" si="1"/>
        <v>Must Watch</v>
      </c>
    </row>
    <row r="6" spans="1:23">
      <c r="A6">
        <v>131</v>
      </c>
      <c r="B6" t="s">
        <v>31</v>
      </c>
      <c r="C6" t="s">
        <v>21</v>
      </c>
      <c r="D6">
        <v>2018</v>
      </c>
      <c r="E6">
        <v>0</v>
      </c>
      <c r="F6" t="s">
        <v>26</v>
      </c>
      <c r="G6">
        <v>1</v>
      </c>
      <c r="H6">
        <v>1</v>
      </c>
      <c r="I6">
        <v>5.9</v>
      </c>
      <c r="J6" t="s">
        <v>32</v>
      </c>
      <c r="K6" t="s">
        <v>24</v>
      </c>
      <c r="L6">
        <f t="shared" si="2"/>
        <v>1000</v>
      </c>
      <c r="M6">
        <f t="shared" si="3"/>
        <v>1000</v>
      </c>
      <c r="N6">
        <f t="shared" si="4"/>
        <v>5900</v>
      </c>
      <c r="O6">
        <f t="shared" si="5"/>
        <v>1000</v>
      </c>
      <c r="P6">
        <f t="shared" si="6"/>
        <v>5900</v>
      </c>
      <c r="Q6">
        <f t="shared" si="7"/>
        <v>12.5</v>
      </c>
      <c r="R6">
        <f t="shared" si="8"/>
        <v>73.75</v>
      </c>
      <c r="S6" s="9">
        <f t="shared" si="0"/>
        <v>4.9000000000000004</v>
      </c>
      <c r="T6" t="str">
        <f t="shared" si="1"/>
        <v>Not Rated</v>
      </c>
    </row>
    <row r="7" spans="1:23">
      <c r="A7">
        <v>135</v>
      </c>
      <c r="B7" t="s">
        <v>33</v>
      </c>
      <c r="C7" t="s">
        <v>21</v>
      </c>
      <c r="D7">
        <v>2022</v>
      </c>
      <c r="E7">
        <v>8.3000000000000007</v>
      </c>
      <c r="F7" t="s">
        <v>34</v>
      </c>
      <c r="G7">
        <v>1</v>
      </c>
      <c r="H7">
        <v>250</v>
      </c>
      <c r="I7">
        <v>3409</v>
      </c>
      <c r="J7" t="s">
        <v>23</v>
      </c>
      <c r="K7" t="s">
        <v>24</v>
      </c>
      <c r="L7">
        <f t="shared" si="2"/>
        <v>1</v>
      </c>
      <c r="M7">
        <f t="shared" si="3"/>
        <v>250</v>
      </c>
      <c r="N7">
        <f t="shared" si="4"/>
        <v>3409</v>
      </c>
      <c r="O7">
        <f t="shared" si="5"/>
        <v>250</v>
      </c>
      <c r="P7">
        <f t="shared" si="6"/>
        <v>3409</v>
      </c>
      <c r="Q7">
        <f t="shared" si="7"/>
        <v>3.125</v>
      </c>
      <c r="R7">
        <f t="shared" si="8"/>
        <v>42.612499999999997</v>
      </c>
      <c r="S7" s="9">
        <f t="shared" si="0"/>
        <v>12.635999999999999</v>
      </c>
      <c r="T7" t="str">
        <f t="shared" si="1"/>
        <v>Must Watch</v>
      </c>
    </row>
    <row r="8" spans="1:23">
      <c r="A8">
        <v>136</v>
      </c>
      <c r="B8" t="s">
        <v>35</v>
      </c>
      <c r="C8" t="s">
        <v>21</v>
      </c>
      <c r="D8">
        <v>2015</v>
      </c>
      <c r="E8">
        <v>8.1</v>
      </c>
      <c r="F8" t="s">
        <v>36</v>
      </c>
      <c r="G8">
        <v>1</v>
      </c>
      <c r="H8">
        <v>900</v>
      </c>
      <c r="I8">
        <v>11690</v>
      </c>
      <c r="J8" t="s">
        <v>23</v>
      </c>
      <c r="K8" t="s">
        <v>24</v>
      </c>
      <c r="L8">
        <f t="shared" si="2"/>
        <v>1</v>
      </c>
      <c r="M8">
        <f t="shared" si="3"/>
        <v>900</v>
      </c>
      <c r="N8">
        <f t="shared" si="4"/>
        <v>11690</v>
      </c>
      <c r="O8">
        <f t="shared" si="5"/>
        <v>900</v>
      </c>
      <c r="P8">
        <f t="shared" si="6"/>
        <v>11690</v>
      </c>
      <c r="Q8">
        <f t="shared" si="7"/>
        <v>11.25</v>
      </c>
      <c r="R8">
        <f t="shared" si="8"/>
        <v>146.125</v>
      </c>
      <c r="S8" s="9">
        <f t="shared" si="0"/>
        <v>11.988888888888889</v>
      </c>
      <c r="T8" t="str">
        <f t="shared" si="1"/>
        <v>Must Watch</v>
      </c>
    </row>
    <row r="9" spans="1:23">
      <c r="A9">
        <v>140</v>
      </c>
      <c r="B9" t="s">
        <v>37</v>
      </c>
      <c r="C9" t="s">
        <v>21</v>
      </c>
      <c r="D9">
        <v>2021</v>
      </c>
      <c r="E9">
        <v>8.4</v>
      </c>
      <c r="F9" t="s">
        <v>28</v>
      </c>
      <c r="G9">
        <v>1</v>
      </c>
      <c r="H9">
        <v>500</v>
      </c>
      <c r="I9">
        <v>950</v>
      </c>
      <c r="J9" t="s">
        <v>23</v>
      </c>
      <c r="K9" t="s">
        <v>24</v>
      </c>
      <c r="L9">
        <f t="shared" si="2"/>
        <v>1</v>
      </c>
      <c r="M9">
        <f t="shared" si="3"/>
        <v>500</v>
      </c>
      <c r="N9">
        <f t="shared" si="4"/>
        <v>950</v>
      </c>
      <c r="O9">
        <f t="shared" si="5"/>
        <v>500</v>
      </c>
      <c r="P9">
        <f t="shared" si="6"/>
        <v>950</v>
      </c>
      <c r="Q9">
        <f t="shared" si="7"/>
        <v>6.25</v>
      </c>
      <c r="R9">
        <f t="shared" si="8"/>
        <v>11.875</v>
      </c>
      <c r="S9" s="9">
        <f t="shared" si="0"/>
        <v>0.9</v>
      </c>
      <c r="T9" t="str">
        <f t="shared" si="1"/>
        <v>Must Watch</v>
      </c>
    </row>
    <row r="10" spans="1:23">
      <c r="A10">
        <v>106</v>
      </c>
      <c r="B10" t="s">
        <v>38</v>
      </c>
      <c r="C10" t="s">
        <v>21</v>
      </c>
      <c r="D10">
        <v>1975</v>
      </c>
      <c r="E10">
        <v>8.1</v>
      </c>
      <c r="F10" t="s">
        <v>39</v>
      </c>
      <c r="G10">
        <v>1</v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  <c r="Q10" t="str">
        <f t="shared" si="7"/>
        <v/>
      </c>
      <c r="R10" t="str">
        <f t="shared" si="8"/>
        <v/>
      </c>
      <c r="S10" s="9" t="str">
        <f t="shared" si="0"/>
        <v/>
      </c>
      <c r="T10" t="str">
        <f t="shared" si="1"/>
        <v>Must Watch</v>
      </c>
    </row>
    <row r="11" spans="1:23">
      <c r="A11">
        <v>110</v>
      </c>
      <c r="B11" t="s">
        <v>40</v>
      </c>
      <c r="C11" t="s">
        <v>21</v>
      </c>
      <c r="D11">
        <v>2015</v>
      </c>
      <c r="E11">
        <v>7.2</v>
      </c>
      <c r="F11" t="s">
        <v>22</v>
      </c>
      <c r="G11">
        <v>1</v>
      </c>
      <c r="H11">
        <v>1.4</v>
      </c>
      <c r="I11">
        <v>3.5</v>
      </c>
      <c r="J11" t="s">
        <v>32</v>
      </c>
      <c r="K11" t="s">
        <v>24</v>
      </c>
      <c r="L11">
        <f t="shared" si="2"/>
        <v>1000</v>
      </c>
      <c r="M11">
        <f t="shared" si="3"/>
        <v>1400</v>
      </c>
      <c r="N11">
        <f t="shared" si="4"/>
        <v>3500</v>
      </c>
      <c r="O11">
        <f t="shared" si="5"/>
        <v>1400</v>
      </c>
      <c r="P11">
        <f t="shared" si="6"/>
        <v>3500</v>
      </c>
      <c r="Q11">
        <f t="shared" si="7"/>
        <v>17.5</v>
      </c>
      <c r="R11">
        <f t="shared" si="8"/>
        <v>43.75</v>
      </c>
      <c r="S11" s="9">
        <f t="shared" si="0"/>
        <v>1.5</v>
      </c>
      <c r="T11" t="str">
        <f t="shared" si="1"/>
        <v>Worth a watch</v>
      </c>
    </row>
    <row r="12" spans="1:23">
      <c r="A12">
        <v>108</v>
      </c>
      <c r="B12" t="s">
        <v>41</v>
      </c>
      <c r="C12" t="s">
        <v>21</v>
      </c>
      <c r="D12">
        <v>2009</v>
      </c>
      <c r="E12">
        <v>8.4</v>
      </c>
      <c r="F12" t="s">
        <v>26</v>
      </c>
      <c r="G12">
        <v>1</v>
      </c>
      <c r="H12">
        <v>550</v>
      </c>
      <c r="I12">
        <v>4000</v>
      </c>
      <c r="J12" t="s">
        <v>23</v>
      </c>
      <c r="K12" t="s">
        <v>24</v>
      </c>
      <c r="L12">
        <f t="shared" si="2"/>
        <v>1</v>
      </c>
      <c r="M12">
        <f t="shared" si="3"/>
        <v>550</v>
      </c>
      <c r="N12">
        <f t="shared" si="4"/>
        <v>4000</v>
      </c>
      <c r="O12">
        <f t="shared" si="5"/>
        <v>550</v>
      </c>
      <c r="P12">
        <f t="shared" si="6"/>
        <v>4000</v>
      </c>
      <c r="Q12">
        <f t="shared" si="7"/>
        <v>6.875</v>
      </c>
      <c r="R12">
        <f t="shared" si="8"/>
        <v>50</v>
      </c>
      <c r="S12" s="9">
        <f t="shared" si="0"/>
        <v>6.2727272727272725</v>
      </c>
      <c r="T12" t="str">
        <f t="shared" si="1"/>
        <v>Must Watch</v>
      </c>
    </row>
    <row r="13" spans="1:23">
      <c r="A13">
        <v>107</v>
      </c>
      <c r="B13" t="s">
        <v>42</v>
      </c>
      <c r="C13" t="s">
        <v>21</v>
      </c>
      <c r="D13">
        <v>1995</v>
      </c>
      <c r="E13">
        <v>8</v>
      </c>
      <c r="F13" t="s">
        <v>43</v>
      </c>
      <c r="G13">
        <v>1</v>
      </c>
      <c r="H13">
        <v>400</v>
      </c>
      <c r="I13">
        <v>2000</v>
      </c>
      <c r="J13" t="s">
        <v>23</v>
      </c>
      <c r="K13" t="s">
        <v>24</v>
      </c>
      <c r="L13">
        <f t="shared" si="2"/>
        <v>1</v>
      </c>
      <c r="M13">
        <f t="shared" si="3"/>
        <v>400</v>
      </c>
      <c r="N13">
        <f t="shared" si="4"/>
        <v>2000</v>
      </c>
      <c r="O13">
        <f t="shared" si="5"/>
        <v>400</v>
      </c>
      <c r="P13">
        <f t="shared" si="6"/>
        <v>2000</v>
      </c>
      <c r="Q13">
        <f t="shared" si="7"/>
        <v>5</v>
      </c>
      <c r="R13">
        <f t="shared" si="8"/>
        <v>25</v>
      </c>
      <c r="S13" s="9">
        <f t="shared" si="0"/>
        <v>4</v>
      </c>
      <c r="T13" t="str">
        <f t="shared" si="1"/>
        <v>Must Watch</v>
      </c>
    </row>
    <row r="14" spans="1:23">
      <c r="A14">
        <v>139</v>
      </c>
      <c r="B14" t="s">
        <v>44</v>
      </c>
      <c r="C14" t="s">
        <v>21</v>
      </c>
      <c r="D14">
        <v>2018</v>
      </c>
      <c r="E14">
        <v>1.9</v>
      </c>
      <c r="F14" t="s">
        <v>36</v>
      </c>
      <c r="G14">
        <v>1</v>
      </c>
      <c r="H14">
        <v>1.8</v>
      </c>
      <c r="I14">
        <v>3.1</v>
      </c>
      <c r="J14" t="s">
        <v>32</v>
      </c>
      <c r="K14" t="s">
        <v>24</v>
      </c>
      <c r="L14">
        <f t="shared" si="2"/>
        <v>1000</v>
      </c>
      <c r="M14">
        <f t="shared" si="3"/>
        <v>1800</v>
      </c>
      <c r="N14">
        <f t="shared" si="4"/>
        <v>3100</v>
      </c>
      <c r="O14">
        <f t="shared" si="5"/>
        <v>1800</v>
      </c>
      <c r="P14">
        <f t="shared" si="6"/>
        <v>3100</v>
      </c>
      <c r="Q14">
        <f t="shared" si="7"/>
        <v>22.5</v>
      </c>
      <c r="R14">
        <f t="shared" si="8"/>
        <v>38.75</v>
      </c>
      <c r="S14" s="9">
        <f t="shared" si="0"/>
        <v>0.72222222222222221</v>
      </c>
      <c r="T14" t="str">
        <f t="shared" si="1"/>
        <v>Skip</v>
      </c>
    </row>
    <row r="15" spans="1:23">
      <c r="A15">
        <v>132</v>
      </c>
      <c r="B15" t="s">
        <v>45</v>
      </c>
      <c r="C15" t="s">
        <v>21</v>
      </c>
      <c r="D15">
        <v>2021</v>
      </c>
      <c r="E15">
        <v>7.6</v>
      </c>
      <c r="F15" t="s">
        <v>46</v>
      </c>
      <c r="G15">
        <v>2</v>
      </c>
      <c r="H15">
        <v>2</v>
      </c>
      <c r="I15">
        <v>3.6</v>
      </c>
      <c r="J15" t="s">
        <v>32</v>
      </c>
      <c r="K15" t="s">
        <v>24</v>
      </c>
      <c r="L15">
        <f t="shared" si="2"/>
        <v>1000</v>
      </c>
      <c r="M15">
        <f t="shared" si="3"/>
        <v>2000</v>
      </c>
      <c r="N15">
        <f t="shared" si="4"/>
        <v>3600</v>
      </c>
      <c r="O15">
        <f t="shared" si="5"/>
        <v>2000</v>
      </c>
      <c r="P15">
        <f t="shared" si="6"/>
        <v>3600</v>
      </c>
      <c r="Q15">
        <f t="shared" si="7"/>
        <v>25</v>
      </c>
      <c r="R15">
        <f t="shared" si="8"/>
        <v>45</v>
      </c>
      <c r="S15" s="9">
        <f t="shared" si="0"/>
        <v>0.8</v>
      </c>
      <c r="T15" t="str">
        <f t="shared" si="1"/>
        <v>Worth a watch</v>
      </c>
    </row>
    <row r="16" spans="1:23">
      <c r="A16">
        <v>133</v>
      </c>
      <c r="B16" t="s">
        <v>47</v>
      </c>
      <c r="C16" t="s">
        <v>21</v>
      </c>
      <c r="D16">
        <v>2022</v>
      </c>
      <c r="E16">
        <v>8</v>
      </c>
      <c r="F16" t="s">
        <v>48</v>
      </c>
      <c r="G16">
        <v>2</v>
      </c>
      <c r="H16">
        <v>5.5</v>
      </c>
      <c r="I16">
        <v>12</v>
      </c>
      <c r="J16" t="s">
        <v>32</v>
      </c>
      <c r="K16" t="s">
        <v>24</v>
      </c>
      <c r="L16">
        <f t="shared" si="2"/>
        <v>1000</v>
      </c>
      <c r="M16">
        <f t="shared" si="3"/>
        <v>5500</v>
      </c>
      <c r="N16">
        <f t="shared" si="4"/>
        <v>12000</v>
      </c>
      <c r="O16">
        <f t="shared" si="5"/>
        <v>5500</v>
      </c>
      <c r="P16">
        <f t="shared" si="6"/>
        <v>12000</v>
      </c>
      <c r="Q16">
        <f t="shared" si="7"/>
        <v>68.75</v>
      </c>
      <c r="R16">
        <f t="shared" si="8"/>
        <v>150</v>
      </c>
      <c r="S16" s="9">
        <f t="shared" si="0"/>
        <v>1.1818181818181819</v>
      </c>
      <c r="T16" t="str">
        <f t="shared" si="1"/>
        <v>Must Watch</v>
      </c>
    </row>
    <row r="17" spans="1:20">
      <c r="A17">
        <v>134</v>
      </c>
      <c r="B17" t="s">
        <v>49</v>
      </c>
      <c r="C17" t="s">
        <v>21</v>
      </c>
      <c r="D17">
        <v>2015</v>
      </c>
      <c r="E17">
        <v>8</v>
      </c>
      <c r="F17" t="s">
        <v>50</v>
      </c>
      <c r="G17">
        <v>2</v>
      </c>
      <c r="H17">
        <v>1.8</v>
      </c>
      <c r="I17">
        <v>6.5</v>
      </c>
      <c r="J17" t="s">
        <v>32</v>
      </c>
      <c r="K17" t="s">
        <v>24</v>
      </c>
      <c r="L17">
        <f t="shared" si="2"/>
        <v>1000</v>
      </c>
      <c r="M17">
        <f t="shared" si="3"/>
        <v>1800</v>
      </c>
      <c r="N17">
        <f t="shared" si="4"/>
        <v>6500</v>
      </c>
      <c r="O17">
        <f t="shared" si="5"/>
        <v>1800</v>
      </c>
      <c r="P17">
        <f t="shared" si="6"/>
        <v>6500</v>
      </c>
      <c r="Q17">
        <f t="shared" si="7"/>
        <v>22.5</v>
      </c>
      <c r="R17">
        <f t="shared" si="8"/>
        <v>81.25</v>
      </c>
      <c r="S17" s="9">
        <f t="shared" si="0"/>
        <v>2.6111111111111112</v>
      </c>
      <c r="T17" t="str">
        <f t="shared" si="1"/>
        <v>Must Watch</v>
      </c>
    </row>
    <row r="18" spans="1:20">
      <c r="A18">
        <v>101</v>
      </c>
      <c r="B18" t="s">
        <v>51</v>
      </c>
      <c r="C18" t="s">
        <v>21</v>
      </c>
      <c r="D18">
        <v>2022</v>
      </c>
      <c r="E18">
        <v>8.4</v>
      </c>
      <c r="F18" t="s">
        <v>52</v>
      </c>
      <c r="G18">
        <v>3</v>
      </c>
      <c r="H18">
        <v>1</v>
      </c>
      <c r="I18">
        <v>12.5</v>
      </c>
      <c r="J18" t="s">
        <v>32</v>
      </c>
      <c r="K18" t="s">
        <v>24</v>
      </c>
      <c r="L18">
        <f t="shared" si="2"/>
        <v>1000</v>
      </c>
      <c r="M18">
        <f t="shared" si="3"/>
        <v>1000</v>
      </c>
      <c r="N18">
        <f t="shared" si="4"/>
        <v>12500</v>
      </c>
      <c r="O18">
        <f t="shared" si="5"/>
        <v>1000</v>
      </c>
      <c r="P18">
        <f t="shared" si="6"/>
        <v>12500</v>
      </c>
      <c r="Q18">
        <f t="shared" si="7"/>
        <v>12.5</v>
      </c>
      <c r="R18">
        <f t="shared" si="8"/>
        <v>156.25</v>
      </c>
      <c r="S18" s="9">
        <f t="shared" si="0"/>
        <v>11.5</v>
      </c>
      <c r="T18" t="str">
        <f t="shared" si="1"/>
        <v>Must Watch</v>
      </c>
    </row>
    <row r="19" spans="1:20">
      <c r="A19">
        <v>126</v>
      </c>
      <c r="B19" t="s">
        <v>53</v>
      </c>
      <c r="C19" t="s">
        <v>54</v>
      </c>
      <c r="D19">
        <v>2018</v>
      </c>
      <c r="E19">
        <v>8.4</v>
      </c>
      <c r="F19" t="s">
        <v>55</v>
      </c>
      <c r="G19">
        <v>5</v>
      </c>
      <c r="H19">
        <v>400</v>
      </c>
      <c r="I19">
        <v>2048</v>
      </c>
      <c r="J19" t="s">
        <v>23</v>
      </c>
      <c r="K19" t="s">
        <v>56</v>
      </c>
      <c r="L19">
        <f t="shared" si="2"/>
        <v>1</v>
      </c>
      <c r="M19">
        <f t="shared" si="3"/>
        <v>400</v>
      </c>
      <c r="N19">
        <f t="shared" si="4"/>
        <v>2048</v>
      </c>
      <c r="O19">
        <f t="shared" si="5"/>
        <v>32000</v>
      </c>
      <c r="P19">
        <f t="shared" si="6"/>
        <v>163840</v>
      </c>
      <c r="Q19">
        <f t="shared" si="7"/>
        <v>400</v>
      </c>
      <c r="R19">
        <f t="shared" si="8"/>
        <v>2048</v>
      </c>
      <c r="S19" s="9">
        <f t="shared" si="0"/>
        <v>4.12</v>
      </c>
      <c r="T19" t="str">
        <f t="shared" si="1"/>
        <v>Must Watch</v>
      </c>
    </row>
    <row r="20" spans="1:20">
      <c r="A20">
        <v>112</v>
      </c>
      <c r="B20" t="s">
        <v>57</v>
      </c>
      <c r="C20" t="s">
        <v>54</v>
      </c>
      <c r="D20">
        <v>2010</v>
      </c>
      <c r="E20">
        <v>8.8000000000000007</v>
      </c>
      <c r="F20" t="s">
        <v>58</v>
      </c>
      <c r="G20">
        <v>5</v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  <c r="Q20" t="str">
        <f t="shared" si="7"/>
        <v/>
      </c>
      <c r="R20" t="str">
        <f t="shared" si="8"/>
        <v/>
      </c>
      <c r="S20" s="9" t="str">
        <f t="shared" si="0"/>
        <v/>
      </c>
      <c r="T20" t="str">
        <f t="shared" si="1"/>
        <v>Must Watch</v>
      </c>
    </row>
    <row r="21" spans="1:20">
      <c r="A21">
        <v>138</v>
      </c>
      <c r="B21" t="s">
        <v>59</v>
      </c>
      <c r="C21" t="s">
        <v>54</v>
      </c>
      <c r="D21">
        <v>2014</v>
      </c>
      <c r="E21">
        <v>7.8</v>
      </c>
      <c r="F21" t="s">
        <v>55</v>
      </c>
      <c r="G21">
        <v>5</v>
      </c>
      <c r="H21">
        <v>177</v>
      </c>
      <c r="I21">
        <v>714.4</v>
      </c>
      <c r="J21" t="s">
        <v>23</v>
      </c>
      <c r="K21" t="s">
        <v>56</v>
      </c>
      <c r="L21">
        <f t="shared" si="2"/>
        <v>1</v>
      </c>
      <c r="M21">
        <f t="shared" si="3"/>
        <v>177</v>
      </c>
      <c r="N21">
        <f t="shared" si="4"/>
        <v>714.4</v>
      </c>
      <c r="O21">
        <f t="shared" si="5"/>
        <v>14160</v>
      </c>
      <c r="P21">
        <f t="shared" si="6"/>
        <v>57152</v>
      </c>
      <c r="Q21">
        <f t="shared" si="7"/>
        <v>177</v>
      </c>
      <c r="R21">
        <f t="shared" si="8"/>
        <v>714.4</v>
      </c>
      <c r="S21" s="9">
        <f t="shared" si="0"/>
        <v>3.0361581920903955</v>
      </c>
      <c r="T21" t="str">
        <f t="shared" si="1"/>
        <v>Worth a watch</v>
      </c>
    </row>
    <row r="22" spans="1:20">
      <c r="A22">
        <v>137</v>
      </c>
      <c r="B22" t="s">
        <v>60</v>
      </c>
      <c r="C22" t="s">
        <v>54</v>
      </c>
      <c r="D22">
        <v>2011</v>
      </c>
      <c r="E22">
        <v>6.9</v>
      </c>
      <c r="F22" t="s">
        <v>55</v>
      </c>
      <c r="G22">
        <v>5</v>
      </c>
      <c r="H22">
        <v>216.7</v>
      </c>
      <c r="I22">
        <v>370.6</v>
      </c>
      <c r="J22" t="s">
        <v>23</v>
      </c>
      <c r="K22" t="s">
        <v>56</v>
      </c>
      <c r="L22">
        <f t="shared" si="2"/>
        <v>1</v>
      </c>
      <c r="M22">
        <f t="shared" si="3"/>
        <v>216.7</v>
      </c>
      <c r="N22">
        <f t="shared" si="4"/>
        <v>370.6</v>
      </c>
      <c r="O22">
        <f t="shared" si="5"/>
        <v>17336</v>
      </c>
      <c r="P22">
        <f t="shared" si="6"/>
        <v>29648</v>
      </c>
      <c r="Q22">
        <f t="shared" si="7"/>
        <v>216.7</v>
      </c>
      <c r="R22">
        <f t="shared" si="8"/>
        <v>370.6</v>
      </c>
      <c r="S22" s="9">
        <f t="shared" si="0"/>
        <v>0.71019843101061397</v>
      </c>
      <c r="T22" t="str">
        <f t="shared" si="1"/>
        <v>Worth a watch</v>
      </c>
    </row>
    <row r="23" spans="1:20">
      <c r="A23">
        <v>125</v>
      </c>
      <c r="B23" t="s">
        <v>61</v>
      </c>
      <c r="C23" t="s">
        <v>54</v>
      </c>
      <c r="D23">
        <v>2019</v>
      </c>
      <c r="E23">
        <v>8.4</v>
      </c>
      <c r="F23" t="s">
        <v>55</v>
      </c>
      <c r="G23">
        <v>5</v>
      </c>
      <c r="H23">
        <v>400</v>
      </c>
      <c r="I23">
        <v>2798</v>
      </c>
      <c r="J23" t="s">
        <v>23</v>
      </c>
      <c r="K23" t="s">
        <v>56</v>
      </c>
      <c r="L23">
        <f t="shared" si="2"/>
        <v>1</v>
      </c>
      <c r="M23">
        <f t="shared" si="3"/>
        <v>400</v>
      </c>
      <c r="N23">
        <f t="shared" si="4"/>
        <v>2798</v>
      </c>
      <c r="O23">
        <f t="shared" si="5"/>
        <v>32000</v>
      </c>
      <c r="P23">
        <f t="shared" si="6"/>
        <v>223840</v>
      </c>
      <c r="Q23">
        <f t="shared" si="7"/>
        <v>400</v>
      </c>
      <c r="R23">
        <f t="shared" si="8"/>
        <v>2798</v>
      </c>
      <c r="S23" s="9">
        <f t="shared" si="0"/>
        <v>5.9950000000000001</v>
      </c>
      <c r="T23" t="str">
        <f t="shared" si="1"/>
        <v>Must Watch</v>
      </c>
    </row>
    <row r="24" spans="1:20">
      <c r="A24">
        <v>113</v>
      </c>
      <c r="B24" t="s">
        <v>62</v>
      </c>
      <c r="C24" t="s">
        <v>54</v>
      </c>
      <c r="D24">
        <v>2014</v>
      </c>
      <c r="E24">
        <v>8.6</v>
      </c>
      <c r="F24" t="s">
        <v>58</v>
      </c>
      <c r="G24">
        <v>5</v>
      </c>
      <c r="H24">
        <v>165</v>
      </c>
      <c r="I24">
        <v>701.8</v>
      </c>
      <c r="J24" t="s">
        <v>23</v>
      </c>
      <c r="K24" t="s">
        <v>56</v>
      </c>
      <c r="L24">
        <f t="shared" si="2"/>
        <v>1</v>
      </c>
      <c r="M24">
        <f t="shared" si="3"/>
        <v>165</v>
      </c>
      <c r="N24">
        <f t="shared" si="4"/>
        <v>701.8</v>
      </c>
      <c r="O24">
        <f t="shared" si="5"/>
        <v>13200</v>
      </c>
      <c r="P24">
        <f t="shared" si="6"/>
        <v>56144</v>
      </c>
      <c r="Q24">
        <f t="shared" si="7"/>
        <v>165</v>
      </c>
      <c r="R24">
        <f t="shared" si="8"/>
        <v>701.8</v>
      </c>
      <c r="S24" s="9">
        <f t="shared" si="0"/>
        <v>3.253333333333333</v>
      </c>
      <c r="T24" t="str">
        <f t="shared" si="1"/>
        <v>Must Watch</v>
      </c>
    </row>
    <row r="25" spans="1:20">
      <c r="A25">
        <v>111</v>
      </c>
      <c r="B25" t="s">
        <v>63</v>
      </c>
      <c r="C25" t="s">
        <v>54</v>
      </c>
      <c r="D25">
        <v>1994</v>
      </c>
      <c r="E25">
        <v>9.3000000000000007</v>
      </c>
      <c r="F25" t="s">
        <v>64</v>
      </c>
      <c r="G25">
        <v>5</v>
      </c>
      <c r="H25">
        <v>25</v>
      </c>
      <c r="I25">
        <v>73.3</v>
      </c>
      <c r="J25" t="s">
        <v>23</v>
      </c>
      <c r="K25" t="s">
        <v>56</v>
      </c>
      <c r="L25">
        <f t="shared" si="2"/>
        <v>1</v>
      </c>
      <c r="M25">
        <f t="shared" si="3"/>
        <v>25</v>
      </c>
      <c r="N25">
        <f t="shared" si="4"/>
        <v>73.3</v>
      </c>
      <c r="O25">
        <f t="shared" si="5"/>
        <v>2000</v>
      </c>
      <c r="P25">
        <f t="shared" si="6"/>
        <v>5864</v>
      </c>
      <c r="Q25">
        <f t="shared" si="7"/>
        <v>25</v>
      </c>
      <c r="R25">
        <f t="shared" si="8"/>
        <v>73.3</v>
      </c>
      <c r="S25" s="9">
        <f t="shared" si="0"/>
        <v>1.9319999999999999</v>
      </c>
      <c r="T25" t="str">
        <f t="shared" si="1"/>
        <v>Must Watch</v>
      </c>
    </row>
    <row r="26" spans="1:20">
      <c r="A26">
        <v>116</v>
      </c>
      <c r="B26" t="s">
        <v>65</v>
      </c>
      <c r="C26" t="s">
        <v>54</v>
      </c>
      <c r="D26">
        <v>2000</v>
      </c>
      <c r="E26">
        <v>8.5</v>
      </c>
      <c r="F26" t="s">
        <v>66</v>
      </c>
      <c r="G26">
        <v>5</v>
      </c>
      <c r="H26">
        <v>103</v>
      </c>
      <c r="I26">
        <v>460.5</v>
      </c>
      <c r="J26" t="s">
        <v>23</v>
      </c>
      <c r="K26" t="s">
        <v>56</v>
      </c>
      <c r="L26">
        <f t="shared" si="2"/>
        <v>1</v>
      </c>
      <c r="M26">
        <f t="shared" si="3"/>
        <v>103</v>
      </c>
      <c r="N26">
        <f t="shared" si="4"/>
        <v>460.5</v>
      </c>
      <c r="O26">
        <f t="shared" si="5"/>
        <v>8240</v>
      </c>
      <c r="P26">
        <f t="shared" si="6"/>
        <v>36840</v>
      </c>
      <c r="Q26">
        <f t="shared" si="7"/>
        <v>103</v>
      </c>
      <c r="R26">
        <f t="shared" si="8"/>
        <v>460.5</v>
      </c>
      <c r="S26" s="9">
        <f t="shared" si="0"/>
        <v>3.470873786407767</v>
      </c>
      <c r="T26" t="str">
        <f t="shared" si="1"/>
        <v>Must Watch</v>
      </c>
    </row>
    <row r="27" spans="1:20">
      <c r="A27">
        <v>115</v>
      </c>
      <c r="B27" t="s">
        <v>67</v>
      </c>
      <c r="C27" t="s">
        <v>54</v>
      </c>
      <c r="D27">
        <v>2006</v>
      </c>
      <c r="E27">
        <v>8</v>
      </c>
      <c r="F27" t="s">
        <v>68</v>
      </c>
      <c r="G27">
        <v>5</v>
      </c>
      <c r="H27">
        <v>55</v>
      </c>
      <c r="I27">
        <v>307.10000000000002</v>
      </c>
      <c r="J27" t="s">
        <v>23</v>
      </c>
      <c r="K27" t="s">
        <v>56</v>
      </c>
      <c r="L27">
        <f t="shared" si="2"/>
        <v>1</v>
      </c>
      <c r="M27">
        <f t="shared" si="3"/>
        <v>55</v>
      </c>
      <c r="N27">
        <f t="shared" si="4"/>
        <v>307.10000000000002</v>
      </c>
      <c r="O27">
        <f t="shared" si="5"/>
        <v>4400</v>
      </c>
      <c r="P27">
        <f t="shared" si="6"/>
        <v>24568</v>
      </c>
      <c r="Q27">
        <f t="shared" si="7"/>
        <v>55</v>
      </c>
      <c r="R27">
        <f t="shared" si="8"/>
        <v>307.10000000000002</v>
      </c>
      <c r="S27" s="9">
        <f t="shared" si="0"/>
        <v>4.583636363636364</v>
      </c>
      <c r="T27" t="str">
        <f t="shared" si="1"/>
        <v>Must Watch</v>
      </c>
    </row>
    <row r="28" spans="1:20">
      <c r="A28">
        <v>103</v>
      </c>
      <c r="B28" t="s">
        <v>69</v>
      </c>
      <c r="C28" t="s">
        <v>54</v>
      </c>
      <c r="D28">
        <v>2013</v>
      </c>
      <c r="E28">
        <v>6.8</v>
      </c>
      <c r="F28" t="s">
        <v>55</v>
      </c>
      <c r="G28">
        <v>5</v>
      </c>
      <c r="H28">
        <v>165</v>
      </c>
      <c r="I28">
        <v>644.79999999999995</v>
      </c>
      <c r="J28" t="s">
        <v>23</v>
      </c>
      <c r="K28" t="s">
        <v>56</v>
      </c>
      <c r="L28">
        <f t="shared" si="2"/>
        <v>1</v>
      </c>
      <c r="M28">
        <f t="shared" si="3"/>
        <v>165</v>
      </c>
      <c r="N28">
        <f t="shared" si="4"/>
        <v>644.79999999999995</v>
      </c>
      <c r="O28">
        <f t="shared" si="5"/>
        <v>13200</v>
      </c>
      <c r="P28">
        <f t="shared" si="6"/>
        <v>51584</v>
      </c>
      <c r="Q28">
        <f t="shared" si="7"/>
        <v>165</v>
      </c>
      <c r="R28">
        <f t="shared" si="8"/>
        <v>644.79999999999995</v>
      </c>
      <c r="S28" s="9">
        <f t="shared" si="0"/>
        <v>2.9078787878787877</v>
      </c>
      <c r="T28" t="str">
        <f t="shared" si="1"/>
        <v>Worth a watch</v>
      </c>
    </row>
    <row r="29" spans="1:20">
      <c r="A29">
        <v>102</v>
      </c>
      <c r="B29" t="s">
        <v>70</v>
      </c>
      <c r="C29" t="s">
        <v>54</v>
      </c>
      <c r="D29">
        <v>2022</v>
      </c>
      <c r="E29">
        <v>7</v>
      </c>
      <c r="F29" t="s">
        <v>55</v>
      </c>
      <c r="G29">
        <v>5</v>
      </c>
      <c r="H29">
        <v>200</v>
      </c>
      <c r="I29">
        <v>954.8</v>
      </c>
      <c r="J29" t="s">
        <v>23</v>
      </c>
      <c r="K29" t="s">
        <v>56</v>
      </c>
      <c r="L29">
        <f t="shared" si="2"/>
        <v>1</v>
      </c>
      <c r="M29">
        <f t="shared" si="3"/>
        <v>200</v>
      </c>
      <c r="N29">
        <f t="shared" si="4"/>
        <v>954.8</v>
      </c>
      <c r="O29">
        <f t="shared" si="5"/>
        <v>16000</v>
      </c>
      <c r="P29">
        <f t="shared" si="6"/>
        <v>76384</v>
      </c>
      <c r="Q29">
        <f t="shared" si="7"/>
        <v>200</v>
      </c>
      <c r="R29">
        <f t="shared" si="8"/>
        <v>954.8</v>
      </c>
      <c r="S29" s="9">
        <f t="shared" si="0"/>
        <v>3.7739999999999996</v>
      </c>
      <c r="T29" t="str">
        <f t="shared" si="1"/>
        <v>Worth a watch</v>
      </c>
    </row>
    <row r="30" spans="1:20">
      <c r="A30">
        <v>105</v>
      </c>
      <c r="B30" t="s">
        <v>71</v>
      </c>
      <c r="C30" t="s">
        <v>54</v>
      </c>
      <c r="D30">
        <v>2022</v>
      </c>
      <c r="E30">
        <v>6.8</v>
      </c>
      <c r="F30" t="s">
        <v>55</v>
      </c>
      <c r="G30">
        <v>5</v>
      </c>
      <c r="H30">
        <v>250</v>
      </c>
      <c r="I30">
        <v>670</v>
      </c>
      <c r="J30" t="s">
        <v>23</v>
      </c>
      <c r="K30" t="s">
        <v>56</v>
      </c>
      <c r="L30">
        <f t="shared" si="2"/>
        <v>1</v>
      </c>
      <c r="M30">
        <f t="shared" si="3"/>
        <v>250</v>
      </c>
      <c r="N30">
        <f t="shared" si="4"/>
        <v>670</v>
      </c>
      <c r="O30">
        <f t="shared" si="5"/>
        <v>20000</v>
      </c>
      <c r="P30">
        <f t="shared" si="6"/>
        <v>53600</v>
      </c>
      <c r="Q30">
        <f t="shared" si="7"/>
        <v>250</v>
      </c>
      <c r="R30">
        <f t="shared" si="8"/>
        <v>670</v>
      </c>
      <c r="S30" s="9">
        <f t="shared" si="0"/>
        <v>1.68</v>
      </c>
      <c r="T30" t="str">
        <f t="shared" si="1"/>
        <v>Worth a watch</v>
      </c>
    </row>
    <row r="31" spans="1:20">
      <c r="A31">
        <v>104</v>
      </c>
      <c r="B31" t="s">
        <v>72</v>
      </c>
      <c r="C31" t="s">
        <v>54</v>
      </c>
      <c r="D31">
        <v>2017</v>
      </c>
      <c r="E31">
        <v>7.9</v>
      </c>
      <c r="F31" t="s">
        <v>55</v>
      </c>
      <c r="G31">
        <v>5</v>
      </c>
      <c r="H31">
        <v>180</v>
      </c>
      <c r="I31">
        <v>854</v>
      </c>
      <c r="J31" t="s">
        <v>23</v>
      </c>
      <c r="K31" t="s">
        <v>56</v>
      </c>
      <c r="L31">
        <f t="shared" si="2"/>
        <v>1</v>
      </c>
      <c r="M31">
        <f t="shared" si="3"/>
        <v>180</v>
      </c>
      <c r="N31">
        <f t="shared" si="4"/>
        <v>854</v>
      </c>
      <c r="O31">
        <f t="shared" si="5"/>
        <v>14400</v>
      </c>
      <c r="P31">
        <f t="shared" si="6"/>
        <v>68320</v>
      </c>
      <c r="Q31">
        <f t="shared" si="7"/>
        <v>180</v>
      </c>
      <c r="R31">
        <f t="shared" si="8"/>
        <v>854</v>
      </c>
      <c r="S31" s="9">
        <f t="shared" si="0"/>
        <v>3.7444444444444445</v>
      </c>
      <c r="T31" t="str">
        <f t="shared" si="1"/>
        <v>Worth a watch</v>
      </c>
    </row>
    <row r="32" spans="1:20">
      <c r="A32">
        <v>117</v>
      </c>
      <c r="B32" t="s">
        <v>73</v>
      </c>
      <c r="C32" t="s">
        <v>54</v>
      </c>
      <c r="D32">
        <v>1997</v>
      </c>
      <c r="E32">
        <v>7.9</v>
      </c>
      <c r="F32" t="s">
        <v>74</v>
      </c>
      <c r="G32">
        <v>5</v>
      </c>
      <c r="H32">
        <v>200</v>
      </c>
      <c r="I32">
        <v>2202</v>
      </c>
      <c r="J32" t="s">
        <v>23</v>
      </c>
      <c r="K32" t="s">
        <v>56</v>
      </c>
      <c r="L32">
        <f t="shared" si="2"/>
        <v>1</v>
      </c>
      <c r="M32">
        <f t="shared" si="3"/>
        <v>200</v>
      </c>
      <c r="N32">
        <f t="shared" si="4"/>
        <v>2202</v>
      </c>
      <c r="O32">
        <f t="shared" si="5"/>
        <v>16000</v>
      </c>
      <c r="P32">
        <f t="shared" si="6"/>
        <v>176160</v>
      </c>
      <c r="Q32">
        <f t="shared" si="7"/>
        <v>200</v>
      </c>
      <c r="R32">
        <f t="shared" si="8"/>
        <v>2202</v>
      </c>
      <c r="S32" s="9">
        <f t="shared" si="0"/>
        <v>10.01</v>
      </c>
      <c r="T32" t="str">
        <f t="shared" si="1"/>
        <v>Worth a watch</v>
      </c>
    </row>
    <row r="33" spans="1:23">
      <c r="A33">
        <v>122</v>
      </c>
      <c r="B33" t="s">
        <v>75</v>
      </c>
      <c r="C33" t="s">
        <v>54</v>
      </c>
      <c r="D33">
        <v>1993</v>
      </c>
      <c r="E33">
        <v>9</v>
      </c>
      <c r="F33" t="s">
        <v>66</v>
      </c>
      <c r="G33">
        <v>5</v>
      </c>
      <c r="H33">
        <v>22</v>
      </c>
      <c r="I33">
        <v>322.2</v>
      </c>
      <c r="J33" t="s">
        <v>23</v>
      </c>
      <c r="K33" t="s">
        <v>56</v>
      </c>
      <c r="L33">
        <f t="shared" si="2"/>
        <v>1</v>
      </c>
      <c r="M33">
        <f t="shared" si="3"/>
        <v>22</v>
      </c>
      <c r="N33">
        <f t="shared" si="4"/>
        <v>322.2</v>
      </c>
      <c r="O33">
        <f t="shared" si="5"/>
        <v>1760</v>
      </c>
      <c r="P33">
        <f t="shared" si="6"/>
        <v>25776</v>
      </c>
      <c r="Q33">
        <f t="shared" si="7"/>
        <v>22</v>
      </c>
      <c r="R33">
        <f t="shared" si="8"/>
        <v>322.2</v>
      </c>
      <c r="S33" s="9">
        <f t="shared" si="0"/>
        <v>13.645454545454545</v>
      </c>
      <c r="T33" t="str">
        <f t="shared" si="1"/>
        <v>Must Watch</v>
      </c>
    </row>
    <row r="34" spans="1:23">
      <c r="A34">
        <v>123</v>
      </c>
      <c r="B34" t="s">
        <v>76</v>
      </c>
      <c r="C34" t="s">
        <v>54</v>
      </c>
      <c r="D34">
        <v>1993</v>
      </c>
      <c r="E34">
        <v>8.1999999999999993</v>
      </c>
      <c r="F34" t="s">
        <v>66</v>
      </c>
      <c r="G34">
        <v>5</v>
      </c>
      <c r="H34">
        <v>63</v>
      </c>
      <c r="I34">
        <v>1046</v>
      </c>
      <c r="J34" t="s">
        <v>23</v>
      </c>
      <c r="K34" t="s">
        <v>56</v>
      </c>
      <c r="L34">
        <f t="shared" si="2"/>
        <v>1</v>
      </c>
      <c r="M34">
        <f t="shared" si="3"/>
        <v>63</v>
      </c>
      <c r="N34">
        <f t="shared" si="4"/>
        <v>1046</v>
      </c>
      <c r="O34">
        <f t="shared" si="5"/>
        <v>5040</v>
      </c>
      <c r="P34">
        <f t="shared" si="6"/>
        <v>83680</v>
      </c>
      <c r="Q34">
        <f t="shared" si="7"/>
        <v>63</v>
      </c>
      <c r="R34">
        <f t="shared" si="8"/>
        <v>1046</v>
      </c>
      <c r="S34" s="9">
        <f t="shared" si="0"/>
        <v>15.603174603174603</v>
      </c>
      <c r="T34" t="str">
        <f t="shared" si="1"/>
        <v>Must Watch</v>
      </c>
    </row>
    <row r="35" spans="1:23">
      <c r="A35">
        <v>124</v>
      </c>
      <c r="B35" t="s">
        <v>77</v>
      </c>
      <c r="C35" t="s">
        <v>54</v>
      </c>
      <c r="D35">
        <v>2019</v>
      </c>
      <c r="E35">
        <v>8.5</v>
      </c>
      <c r="F35" t="s">
        <v>22</v>
      </c>
      <c r="G35">
        <v>5</v>
      </c>
      <c r="H35">
        <v>15.5</v>
      </c>
      <c r="I35">
        <v>263.10000000000002</v>
      </c>
      <c r="J35" t="s">
        <v>23</v>
      </c>
      <c r="K35" t="s">
        <v>56</v>
      </c>
      <c r="L35">
        <f t="shared" si="2"/>
        <v>1</v>
      </c>
      <c r="M35">
        <f t="shared" si="3"/>
        <v>15.5</v>
      </c>
      <c r="N35">
        <f t="shared" si="4"/>
        <v>263.10000000000002</v>
      </c>
      <c r="O35">
        <f t="shared" si="5"/>
        <v>1240</v>
      </c>
      <c r="P35">
        <f t="shared" si="6"/>
        <v>21048</v>
      </c>
      <c r="Q35">
        <f t="shared" si="7"/>
        <v>15.5</v>
      </c>
      <c r="R35">
        <f t="shared" si="8"/>
        <v>263.10000000000002</v>
      </c>
      <c r="S35" s="9">
        <f t="shared" si="0"/>
        <v>15.974193548387099</v>
      </c>
      <c r="T35" t="str">
        <f t="shared" si="1"/>
        <v>Must Watch</v>
      </c>
    </row>
    <row r="36" spans="1:23">
      <c r="A36">
        <v>121</v>
      </c>
      <c r="B36" t="s">
        <v>78</v>
      </c>
      <c r="C36" t="s">
        <v>54</v>
      </c>
      <c r="D36">
        <v>2008</v>
      </c>
      <c r="E36">
        <v>9</v>
      </c>
      <c r="F36" t="s">
        <v>79</v>
      </c>
      <c r="G36">
        <v>5</v>
      </c>
      <c r="H36">
        <v>185</v>
      </c>
      <c r="I36">
        <v>1006</v>
      </c>
      <c r="J36" t="s">
        <v>23</v>
      </c>
      <c r="K36" t="s">
        <v>56</v>
      </c>
      <c r="L36">
        <f t="shared" si="2"/>
        <v>1</v>
      </c>
      <c r="M36">
        <f t="shared" si="3"/>
        <v>185</v>
      </c>
      <c r="N36">
        <f t="shared" si="4"/>
        <v>1006</v>
      </c>
      <c r="O36">
        <f t="shared" si="5"/>
        <v>14800</v>
      </c>
      <c r="P36">
        <f t="shared" si="6"/>
        <v>80480</v>
      </c>
      <c r="Q36">
        <f t="shared" si="7"/>
        <v>185</v>
      </c>
      <c r="R36">
        <f t="shared" si="8"/>
        <v>1006</v>
      </c>
      <c r="S36" s="9">
        <f t="shared" si="0"/>
        <v>4.4378378378378383</v>
      </c>
      <c r="T36" t="str">
        <f t="shared" si="1"/>
        <v>Must Watch</v>
      </c>
      <c r="W36" s="10">
        <f>(R39-Q39)/Q39</f>
        <v>39.416666666666664</v>
      </c>
    </row>
    <row r="37" spans="1:23">
      <c r="A37">
        <v>118</v>
      </c>
      <c r="B37" t="s">
        <v>80</v>
      </c>
      <c r="C37" t="s">
        <v>54</v>
      </c>
      <c r="D37">
        <v>1946</v>
      </c>
      <c r="E37">
        <v>8.6</v>
      </c>
      <c r="F37" t="s">
        <v>81</v>
      </c>
      <c r="G37">
        <v>5</v>
      </c>
      <c r="H37">
        <v>3.18</v>
      </c>
      <c r="I37">
        <v>3.3</v>
      </c>
      <c r="J37" t="s">
        <v>23</v>
      </c>
      <c r="K37" t="s">
        <v>56</v>
      </c>
      <c r="L37">
        <f t="shared" si="2"/>
        <v>1</v>
      </c>
      <c r="M37">
        <f t="shared" si="3"/>
        <v>3.18</v>
      </c>
      <c r="N37">
        <f t="shared" si="4"/>
        <v>3.3</v>
      </c>
      <c r="O37">
        <f t="shared" si="5"/>
        <v>254.4</v>
      </c>
      <c r="P37">
        <f t="shared" si="6"/>
        <v>264</v>
      </c>
      <c r="Q37">
        <f t="shared" si="7"/>
        <v>3.18</v>
      </c>
      <c r="R37">
        <f t="shared" si="8"/>
        <v>3.3</v>
      </c>
      <c r="S37" s="9">
        <f t="shared" si="0"/>
        <v>3.7735849056603668E-2</v>
      </c>
      <c r="T37" t="str">
        <f t="shared" si="1"/>
        <v>Must Watch</v>
      </c>
    </row>
    <row r="38" spans="1:23">
      <c r="A38">
        <v>119</v>
      </c>
      <c r="B38" t="s">
        <v>82</v>
      </c>
      <c r="C38" t="s">
        <v>54</v>
      </c>
      <c r="D38">
        <v>2009</v>
      </c>
      <c r="E38">
        <v>7.8</v>
      </c>
      <c r="F38" t="s">
        <v>83</v>
      </c>
      <c r="G38">
        <v>5</v>
      </c>
      <c r="H38">
        <v>237</v>
      </c>
      <c r="I38">
        <v>2847</v>
      </c>
      <c r="J38" t="s">
        <v>23</v>
      </c>
      <c r="K38" t="s">
        <v>56</v>
      </c>
      <c r="L38">
        <f t="shared" si="2"/>
        <v>1</v>
      </c>
      <c r="M38">
        <f t="shared" si="3"/>
        <v>237</v>
      </c>
      <c r="N38">
        <f t="shared" si="4"/>
        <v>2847</v>
      </c>
      <c r="O38">
        <f t="shared" si="5"/>
        <v>18960</v>
      </c>
      <c r="P38">
        <f t="shared" si="6"/>
        <v>227760</v>
      </c>
      <c r="Q38">
        <f t="shared" si="7"/>
        <v>237</v>
      </c>
      <c r="R38">
        <f t="shared" si="8"/>
        <v>2847</v>
      </c>
      <c r="S38" s="9">
        <f t="shared" si="0"/>
        <v>11.012658227848101</v>
      </c>
      <c r="T38" t="str">
        <f t="shared" si="1"/>
        <v>Worth a watch</v>
      </c>
    </row>
    <row r="39" spans="1:23">
      <c r="A39">
        <v>120</v>
      </c>
      <c r="B39" t="s">
        <v>84</v>
      </c>
      <c r="C39" t="s">
        <v>54</v>
      </c>
      <c r="D39">
        <v>1972</v>
      </c>
      <c r="E39">
        <v>9.1999999999999993</v>
      </c>
      <c r="F39" t="s">
        <v>74</v>
      </c>
      <c r="G39">
        <v>5</v>
      </c>
      <c r="H39">
        <v>7.2</v>
      </c>
      <c r="I39">
        <v>291</v>
      </c>
      <c r="J39" t="s">
        <v>23</v>
      </c>
      <c r="K39" t="s">
        <v>56</v>
      </c>
      <c r="L39">
        <f t="shared" si="2"/>
        <v>1</v>
      </c>
      <c r="M39">
        <f t="shared" si="3"/>
        <v>7.2</v>
      </c>
      <c r="N39">
        <f t="shared" si="4"/>
        <v>291</v>
      </c>
      <c r="O39">
        <f t="shared" si="5"/>
        <v>576</v>
      </c>
      <c r="P39">
        <f t="shared" si="6"/>
        <v>23280</v>
      </c>
      <c r="Q39">
        <f t="shared" si="7"/>
        <v>7.2</v>
      </c>
      <c r="R39">
        <f t="shared" si="8"/>
        <v>291</v>
      </c>
      <c r="S39" s="9">
        <f t="shared" si="0"/>
        <v>39.416666666666664</v>
      </c>
      <c r="T39" t="str">
        <f t="shared" si="1"/>
        <v>Must Watch</v>
      </c>
    </row>
    <row r="40" spans="1:23">
      <c r="A40">
        <v>127</v>
      </c>
      <c r="B40" t="s">
        <v>85</v>
      </c>
      <c r="C40" t="s">
        <v>21</v>
      </c>
      <c r="D40">
        <v>1955</v>
      </c>
      <c r="E40">
        <v>8.3000000000000007</v>
      </c>
      <c r="F40" t="s">
        <v>86</v>
      </c>
      <c r="G40">
        <v>7</v>
      </c>
      <c r="H40">
        <v>70</v>
      </c>
      <c r="I40">
        <v>100</v>
      </c>
      <c r="J40" t="s">
        <v>23</v>
      </c>
      <c r="K40" t="s">
        <v>24</v>
      </c>
      <c r="L40">
        <f t="shared" si="2"/>
        <v>1</v>
      </c>
      <c r="M40">
        <f t="shared" si="3"/>
        <v>70</v>
      </c>
      <c r="N40">
        <f t="shared" si="4"/>
        <v>100</v>
      </c>
      <c r="O40">
        <f t="shared" si="5"/>
        <v>70</v>
      </c>
      <c r="P40">
        <f t="shared" si="6"/>
        <v>100</v>
      </c>
      <c r="Q40">
        <f t="shared" si="7"/>
        <v>0.875</v>
      </c>
      <c r="R40">
        <f t="shared" si="8"/>
        <v>1.25</v>
      </c>
      <c r="S40" s="9">
        <f t="shared" si="0"/>
        <v>0.42857142857142855</v>
      </c>
      <c r="T40" t="str">
        <f t="shared" si="1"/>
        <v>Must Watch</v>
      </c>
    </row>
    <row r="41" spans="1:23">
      <c r="A41">
        <v>141</v>
      </c>
      <c r="B41" t="s">
        <v>87</v>
      </c>
      <c r="C41" t="s">
        <v>21</v>
      </c>
      <c r="D41">
        <v>2018</v>
      </c>
      <c r="E41">
        <v>4.0999999999999996</v>
      </c>
      <c r="F41" t="s">
        <v>43</v>
      </c>
      <c r="G41">
        <v>1</v>
      </c>
      <c r="H41">
        <v>3</v>
      </c>
      <c r="I41">
        <v>1.5</v>
      </c>
      <c r="J41" t="s">
        <v>32</v>
      </c>
      <c r="K41" t="s">
        <v>24</v>
      </c>
      <c r="L41">
        <f t="shared" si="2"/>
        <v>1000</v>
      </c>
      <c r="M41">
        <f t="shared" si="3"/>
        <v>3000</v>
      </c>
      <c r="N41">
        <f t="shared" si="4"/>
        <v>1500</v>
      </c>
      <c r="O41">
        <f t="shared" si="5"/>
        <v>3000</v>
      </c>
      <c r="P41">
        <f t="shared" si="6"/>
        <v>1500</v>
      </c>
      <c r="Q41">
        <f t="shared" si="7"/>
        <v>37.5</v>
      </c>
      <c r="R41">
        <f t="shared" si="8"/>
        <v>18.75</v>
      </c>
      <c r="S41" s="9">
        <f t="shared" si="0"/>
        <v>-0.5</v>
      </c>
      <c r="T41" t="str">
        <f t="shared" si="1"/>
        <v>Skip</v>
      </c>
    </row>
    <row r="42" spans="1:23">
      <c r="A42">
        <v>142</v>
      </c>
      <c r="B42" t="s">
        <v>88</v>
      </c>
      <c r="C42" t="s">
        <v>21</v>
      </c>
      <c r="D42">
        <v>2022</v>
      </c>
      <c r="E42">
        <v>5.6</v>
      </c>
      <c r="F42" t="s">
        <v>43</v>
      </c>
      <c r="G42">
        <v>1</v>
      </c>
      <c r="H42">
        <v>1.5</v>
      </c>
      <c r="I42">
        <v>0.65</v>
      </c>
      <c r="J42" t="s">
        <v>32</v>
      </c>
      <c r="K42" t="s">
        <v>24</v>
      </c>
      <c r="L42">
        <f t="shared" si="2"/>
        <v>1000</v>
      </c>
      <c r="M42">
        <f t="shared" si="3"/>
        <v>1500</v>
      </c>
      <c r="N42">
        <f t="shared" si="4"/>
        <v>650</v>
      </c>
      <c r="O42">
        <f t="shared" si="5"/>
        <v>1500</v>
      </c>
      <c r="P42">
        <f t="shared" si="6"/>
        <v>650</v>
      </c>
      <c r="Q42">
        <f t="shared" si="7"/>
        <v>18.75</v>
      </c>
      <c r="R42">
        <f t="shared" si="8"/>
        <v>8.125</v>
      </c>
      <c r="S42" s="9">
        <f t="shared" si="0"/>
        <v>-0.56666666666666665</v>
      </c>
      <c r="T42" t="str">
        <f t="shared" si="1"/>
        <v>Skip</v>
      </c>
    </row>
    <row r="43" spans="1:23">
      <c r="A43">
        <v>143</v>
      </c>
      <c r="B43" t="s">
        <v>89</v>
      </c>
      <c r="C43" t="s">
        <v>54</v>
      </c>
      <c r="D43">
        <v>2019</v>
      </c>
      <c r="E43">
        <v>2.8</v>
      </c>
      <c r="F43" t="s">
        <v>66</v>
      </c>
      <c r="G43">
        <v>5</v>
      </c>
      <c r="H43">
        <v>95</v>
      </c>
      <c r="I43">
        <v>75.3</v>
      </c>
      <c r="J43" t="s">
        <v>23</v>
      </c>
      <c r="K43" t="s">
        <v>56</v>
      </c>
      <c r="L43">
        <f t="shared" si="2"/>
        <v>1</v>
      </c>
      <c r="M43">
        <f t="shared" si="3"/>
        <v>95</v>
      </c>
      <c r="N43">
        <f t="shared" si="4"/>
        <v>75.3</v>
      </c>
      <c r="O43">
        <f t="shared" si="5"/>
        <v>7600</v>
      </c>
      <c r="P43">
        <f t="shared" si="6"/>
        <v>6024</v>
      </c>
      <c r="Q43">
        <f t="shared" si="7"/>
        <v>95</v>
      </c>
      <c r="R43">
        <f t="shared" si="8"/>
        <v>75.3</v>
      </c>
      <c r="S43" s="9">
        <f t="shared" si="0"/>
        <v>-0.20736842105263162</v>
      </c>
      <c r="T43" t="str">
        <f t="shared" si="1"/>
        <v>Skip</v>
      </c>
    </row>
    <row r="44" spans="1:23">
      <c r="A44">
        <v>144</v>
      </c>
      <c r="B44" t="s">
        <v>90</v>
      </c>
      <c r="C44" t="s">
        <v>54</v>
      </c>
      <c r="D44">
        <v>2018</v>
      </c>
      <c r="E44">
        <v>6.1</v>
      </c>
      <c r="F44" t="s">
        <v>66</v>
      </c>
      <c r="G44">
        <v>5</v>
      </c>
      <c r="H44">
        <v>100</v>
      </c>
      <c r="I44">
        <v>83.7</v>
      </c>
      <c r="J44" t="s">
        <v>23</v>
      </c>
      <c r="K44" t="s">
        <v>56</v>
      </c>
      <c r="L44">
        <f t="shared" si="2"/>
        <v>1</v>
      </c>
      <c r="M44">
        <f t="shared" si="3"/>
        <v>100</v>
      </c>
      <c r="N44">
        <f t="shared" si="4"/>
        <v>83.7</v>
      </c>
      <c r="O44">
        <f t="shared" si="5"/>
        <v>8000</v>
      </c>
      <c r="P44">
        <f t="shared" si="6"/>
        <v>6696</v>
      </c>
      <c r="Q44">
        <f t="shared" si="7"/>
        <v>100</v>
      </c>
      <c r="R44">
        <f t="shared" si="8"/>
        <v>83.7</v>
      </c>
      <c r="S44" s="9">
        <f t="shared" si="0"/>
        <v>-0.16299999999999998</v>
      </c>
      <c r="T44" t="str">
        <f t="shared" si="1"/>
        <v>Worth a watch</v>
      </c>
    </row>
    <row r="49" spans="3:3">
      <c r="C49">
        <f>ROWS(MovieFinancials[[#All],[Movie ID]])</f>
        <v>44</v>
      </c>
    </row>
  </sheetData>
  <conditionalFormatting sqref="S2:S44">
    <cfRule type="cellIs" dxfId="23" priority="1" operator="lessThan">
      <formula>0</formula>
    </cfRule>
  </conditionalFormatting>
  <conditionalFormatting sqref="S2:S44">
    <cfRule type="cellIs" dxfId="22" priority="2" operator="greaterThan">
      <formula>1000%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zoomScale="175" zoomScaleNormal="175" workbookViewId="0">
      <selection activeCell="A6" sqref="A6:F6"/>
    </sheetView>
  </sheetViews>
  <sheetFormatPr defaultRowHeight="15"/>
  <cols>
    <col min="1" max="1" width="44.85546875" bestFit="1" customWidth="1"/>
    <col min="2" max="2" width="10.5703125" bestFit="1" customWidth="1"/>
    <col min="3" max="3" width="14.7109375" customWidth="1"/>
    <col min="4" max="4" width="12.42578125" customWidth="1"/>
    <col min="5" max="5" width="26.42578125" bestFit="1" customWidth="1"/>
    <col min="6" max="6" width="12.42578125" customWidth="1"/>
  </cols>
  <sheetData>
    <row r="1" spans="1:6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97</v>
      </c>
      <c r="B2" t="s">
        <v>21</v>
      </c>
      <c r="C2">
        <v>2022</v>
      </c>
      <c r="D2">
        <v>8.4</v>
      </c>
      <c r="E2" t="s">
        <v>52</v>
      </c>
      <c r="F2">
        <v>3</v>
      </c>
    </row>
    <row r="3" spans="1:6">
      <c r="A3" t="s">
        <v>98</v>
      </c>
      <c r="B3" t="s">
        <v>54</v>
      </c>
      <c r="C3">
        <v>2022</v>
      </c>
      <c r="D3">
        <v>7</v>
      </c>
      <c r="E3" t="s">
        <v>55</v>
      </c>
      <c r="F3">
        <v>5</v>
      </c>
    </row>
    <row r="4" spans="1:6">
      <c r="A4" t="s">
        <v>99</v>
      </c>
      <c r="B4" t="s">
        <v>54</v>
      </c>
      <c r="C4">
        <v>2013</v>
      </c>
      <c r="D4">
        <v>6.8</v>
      </c>
      <c r="E4" t="s">
        <v>55</v>
      </c>
      <c r="F4">
        <v>5</v>
      </c>
    </row>
    <row r="5" spans="1:6">
      <c r="A5" t="s">
        <v>100</v>
      </c>
      <c r="B5" t="s">
        <v>54</v>
      </c>
      <c r="C5">
        <v>2017</v>
      </c>
      <c r="D5">
        <v>7.9</v>
      </c>
      <c r="E5" t="s">
        <v>55</v>
      </c>
      <c r="F5">
        <v>5</v>
      </c>
    </row>
    <row r="6" spans="1:6">
      <c r="A6" t="s">
        <v>101</v>
      </c>
      <c r="B6" t="s">
        <v>54</v>
      </c>
      <c r="C6">
        <v>2022</v>
      </c>
      <c r="D6">
        <v>6.8</v>
      </c>
      <c r="E6" t="s">
        <v>55</v>
      </c>
      <c r="F6">
        <v>5</v>
      </c>
    </row>
    <row r="7" spans="1:6">
      <c r="A7" t="s">
        <v>102</v>
      </c>
      <c r="B7" t="s">
        <v>21</v>
      </c>
      <c r="C7">
        <v>1975</v>
      </c>
      <c r="D7">
        <v>8.1</v>
      </c>
      <c r="E7" t="s">
        <v>39</v>
      </c>
      <c r="F7">
        <v>1</v>
      </c>
    </row>
    <row r="8" spans="1:6">
      <c r="A8" t="s">
        <v>103</v>
      </c>
      <c r="B8" t="s">
        <v>21</v>
      </c>
      <c r="C8">
        <v>1995</v>
      </c>
      <c r="D8">
        <v>8</v>
      </c>
      <c r="E8" t="s">
        <v>43</v>
      </c>
      <c r="F8">
        <v>1</v>
      </c>
    </row>
    <row r="9" spans="1:6">
      <c r="A9" t="s">
        <v>104</v>
      </c>
      <c r="B9" t="s">
        <v>21</v>
      </c>
      <c r="C9">
        <v>2009</v>
      </c>
      <c r="D9">
        <v>8.4</v>
      </c>
      <c r="E9" t="s">
        <v>26</v>
      </c>
      <c r="F9">
        <v>1</v>
      </c>
    </row>
    <row r="10" spans="1:6">
      <c r="A10" t="s">
        <v>105</v>
      </c>
      <c r="B10" t="s">
        <v>21</v>
      </c>
      <c r="C10">
        <v>2001</v>
      </c>
      <c r="D10">
        <v>7.4</v>
      </c>
      <c r="E10" t="s">
        <v>28</v>
      </c>
      <c r="F10">
        <v>1</v>
      </c>
    </row>
    <row r="11" spans="1:6">
      <c r="A11" t="s">
        <v>106</v>
      </c>
      <c r="B11" t="s">
        <v>21</v>
      </c>
      <c r="C11">
        <v>2015</v>
      </c>
      <c r="D11">
        <v>7.2</v>
      </c>
      <c r="F11">
        <v>1</v>
      </c>
    </row>
    <row r="12" spans="1:6">
      <c r="A12" t="s">
        <v>107</v>
      </c>
      <c r="B12" t="s">
        <v>54</v>
      </c>
      <c r="C12">
        <v>1994</v>
      </c>
      <c r="D12">
        <v>9.3000000000000007</v>
      </c>
      <c r="E12" t="s">
        <v>64</v>
      </c>
      <c r="F12">
        <v>5</v>
      </c>
    </row>
    <row r="13" spans="1:6">
      <c r="A13" t="s">
        <v>108</v>
      </c>
      <c r="B13" t="s">
        <v>54</v>
      </c>
      <c r="C13">
        <v>2010</v>
      </c>
      <c r="D13">
        <v>8.8000000000000007</v>
      </c>
      <c r="E13" t="s">
        <v>58</v>
      </c>
      <c r="F13">
        <v>5</v>
      </c>
    </row>
    <row r="14" spans="1:6">
      <c r="A14" t="s">
        <v>109</v>
      </c>
      <c r="B14" t="s">
        <v>54</v>
      </c>
      <c r="C14">
        <v>2014</v>
      </c>
      <c r="D14">
        <v>8.6</v>
      </c>
      <c r="E14" t="s">
        <v>58</v>
      </c>
      <c r="F14">
        <v>5</v>
      </c>
    </row>
    <row r="15" spans="1:6">
      <c r="A15" t="s">
        <v>110</v>
      </c>
      <c r="B15" t="s">
        <v>54</v>
      </c>
      <c r="C15">
        <v>2006</v>
      </c>
      <c r="D15">
        <v>8</v>
      </c>
      <c r="E15" t="s">
        <v>68</v>
      </c>
      <c r="F15">
        <v>5</v>
      </c>
    </row>
    <row r="16" spans="1:6">
      <c r="A16" t="s">
        <v>111</v>
      </c>
      <c r="B16" t="s">
        <v>54</v>
      </c>
      <c r="C16">
        <v>2000</v>
      </c>
      <c r="D16">
        <v>8.5</v>
      </c>
      <c r="E16" t="s">
        <v>66</v>
      </c>
      <c r="F16">
        <v>5</v>
      </c>
    </row>
    <row r="17" spans="1:6">
      <c r="A17" t="s">
        <v>112</v>
      </c>
      <c r="B17" t="s">
        <v>54</v>
      </c>
      <c r="C17">
        <v>1997</v>
      </c>
      <c r="D17">
        <v>7.9</v>
      </c>
      <c r="E17" t="s">
        <v>74</v>
      </c>
      <c r="F17">
        <v>5</v>
      </c>
    </row>
    <row r="18" spans="1:6">
      <c r="A18" t="s">
        <v>113</v>
      </c>
      <c r="B18" t="s">
        <v>54</v>
      </c>
      <c r="C18">
        <v>1946</v>
      </c>
      <c r="D18">
        <v>8.6</v>
      </c>
      <c r="E18" t="s">
        <v>81</v>
      </c>
      <c r="F18">
        <v>5</v>
      </c>
    </row>
    <row r="19" spans="1:6">
      <c r="A19" t="s">
        <v>114</v>
      </c>
      <c r="B19" t="s">
        <v>54</v>
      </c>
      <c r="C19">
        <v>2009</v>
      </c>
      <c r="D19">
        <v>7.8</v>
      </c>
      <c r="E19" t="s">
        <v>83</v>
      </c>
      <c r="F19">
        <v>5</v>
      </c>
    </row>
    <row r="20" spans="1:6">
      <c r="A20" t="s">
        <v>115</v>
      </c>
      <c r="B20" t="s">
        <v>54</v>
      </c>
      <c r="C20">
        <v>1972</v>
      </c>
      <c r="D20">
        <v>9.1999999999999993</v>
      </c>
      <c r="E20" t="s">
        <v>74</v>
      </c>
      <c r="F20">
        <v>5</v>
      </c>
    </row>
    <row r="21" spans="1:6">
      <c r="A21" t="s">
        <v>116</v>
      </c>
      <c r="B21" t="s">
        <v>54</v>
      </c>
      <c r="C21">
        <v>2008</v>
      </c>
      <c r="D21">
        <v>9</v>
      </c>
      <c r="E21" t="s">
        <v>79</v>
      </c>
      <c r="F21">
        <v>5</v>
      </c>
    </row>
    <row r="22" spans="1:6">
      <c r="A22" t="s">
        <v>117</v>
      </c>
      <c r="B22" t="s">
        <v>54</v>
      </c>
      <c r="C22">
        <v>1993</v>
      </c>
      <c r="D22">
        <v>9</v>
      </c>
      <c r="E22" t="s">
        <v>66</v>
      </c>
      <c r="F22">
        <v>5</v>
      </c>
    </row>
    <row r="23" spans="1:6">
      <c r="A23" t="s">
        <v>118</v>
      </c>
      <c r="B23" t="s">
        <v>54</v>
      </c>
      <c r="C23">
        <v>1993</v>
      </c>
      <c r="D23">
        <v>8.1999999999999993</v>
      </c>
      <c r="E23" t="s">
        <v>66</v>
      </c>
      <c r="F23">
        <v>5</v>
      </c>
    </row>
    <row r="24" spans="1:6">
      <c r="A24" t="s">
        <v>119</v>
      </c>
      <c r="B24" t="s">
        <v>54</v>
      </c>
      <c r="C24">
        <v>2019</v>
      </c>
      <c r="D24">
        <v>8.5</v>
      </c>
      <c r="F24">
        <v>5</v>
      </c>
    </row>
    <row r="25" spans="1:6">
      <c r="A25" t="s">
        <v>120</v>
      </c>
      <c r="B25" t="s">
        <v>54</v>
      </c>
      <c r="C25">
        <v>2019</v>
      </c>
      <c r="D25">
        <v>8.4</v>
      </c>
      <c r="E25" t="s">
        <v>55</v>
      </c>
      <c r="F25">
        <v>5</v>
      </c>
    </row>
    <row r="26" spans="1:6">
      <c r="A26" t="s">
        <v>121</v>
      </c>
      <c r="B26" t="s">
        <v>54</v>
      </c>
      <c r="C26">
        <v>2018</v>
      </c>
      <c r="D26">
        <v>8.4</v>
      </c>
      <c r="E26" t="s">
        <v>55</v>
      </c>
      <c r="F26">
        <v>5</v>
      </c>
    </row>
    <row r="27" spans="1:6">
      <c r="A27" t="s">
        <v>122</v>
      </c>
      <c r="B27" t="s">
        <v>21</v>
      </c>
      <c r="C27">
        <v>1955</v>
      </c>
      <c r="D27">
        <v>8.3000000000000007</v>
      </c>
      <c r="E27" t="s">
        <v>86</v>
      </c>
      <c r="F27">
        <v>7</v>
      </c>
    </row>
    <row r="28" spans="1:6">
      <c r="A28" t="s">
        <v>123</v>
      </c>
      <c r="B28" t="s">
        <v>21</v>
      </c>
      <c r="C28">
        <v>2007</v>
      </c>
      <c r="D28">
        <v>8.3000000000000007</v>
      </c>
      <c r="F28">
        <v>1</v>
      </c>
    </row>
    <row r="29" spans="1:6">
      <c r="A29" t="s">
        <v>124</v>
      </c>
      <c r="B29" t="s">
        <v>21</v>
      </c>
      <c r="C29">
        <v>2003</v>
      </c>
      <c r="D29">
        <v>8.1</v>
      </c>
      <c r="E29" t="s">
        <v>30</v>
      </c>
      <c r="F29">
        <v>1</v>
      </c>
    </row>
    <row r="30" spans="1:6">
      <c r="A30" t="s">
        <v>125</v>
      </c>
      <c r="B30" t="s">
        <v>21</v>
      </c>
      <c r="C30">
        <v>2014</v>
      </c>
      <c r="D30">
        <v>8.1</v>
      </c>
      <c r="E30" t="s">
        <v>26</v>
      </c>
      <c r="F30">
        <v>1</v>
      </c>
    </row>
    <row r="31" spans="1:6">
      <c r="A31" t="s">
        <v>126</v>
      </c>
      <c r="B31" t="s">
        <v>21</v>
      </c>
      <c r="C31">
        <v>2018</v>
      </c>
      <c r="D31">
        <v>0</v>
      </c>
      <c r="E31" t="s">
        <v>26</v>
      </c>
      <c r="F31">
        <v>1</v>
      </c>
    </row>
    <row r="32" spans="1:6">
      <c r="A32" t="s">
        <v>127</v>
      </c>
      <c r="B32" t="s">
        <v>21</v>
      </c>
      <c r="C32">
        <v>2021</v>
      </c>
      <c r="D32">
        <v>7.6</v>
      </c>
      <c r="E32" t="s">
        <v>46</v>
      </c>
      <c r="F32">
        <v>2</v>
      </c>
    </row>
    <row r="33" spans="1:6">
      <c r="A33" t="s">
        <v>128</v>
      </c>
      <c r="B33" t="s">
        <v>21</v>
      </c>
      <c r="C33">
        <v>2022</v>
      </c>
      <c r="D33">
        <v>8</v>
      </c>
      <c r="E33" t="s">
        <v>48</v>
      </c>
      <c r="F33">
        <v>2</v>
      </c>
    </row>
    <row r="34" spans="1:6">
      <c r="A34" t="s">
        <v>129</v>
      </c>
      <c r="B34" t="s">
        <v>21</v>
      </c>
      <c r="C34">
        <v>2015</v>
      </c>
      <c r="D34">
        <v>8</v>
      </c>
      <c r="E34" t="s">
        <v>50</v>
      </c>
      <c r="F34">
        <v>2</v>
      </c>
    </row>
    <row r="35" spans="1:6">
      <c r="A35" t="s">
        <v>130</v>
      </c>
      <c r="B35" t="s">
        <v>21</v>
      </c>
      <c r="C35">
        <v>2022</v>
      </c>
      <c r="D35">
        <v>8.3000000000000007</v>
      </c>
      <c r="E35" t="s">
        <v>34</v>
      </c>
      <c r="F35">
        <v>1</v>
      </c>
    </row>
    <row r="36" spans="1:6">
      <c r="A36" t="s">
        <v>131</v>
      </c>
      <c r="B36" t="s">
        <v>21</v>
      </c>
      <c r="C36">
        <v>2015</v>
      </c>
      <c r="D36">
        <v>8.1</v>
      </c>
      <c r="E36" t="s">
        <v>36</v>
      </c>
      <c r="F36">
        <v>1</v>
      </c>
    </row>
    <row r="37" spans="1:6">
      <c r="A37" t="s">
        <v>132</v>
      </c>
      <c r="B37" t="s">
        <v>54</v>
      </c>
      <c r="C37">
        <v>2011</v>
      </c>
      <c r="D37">
        <v>6.9</v>
      </c>
      <c r="E37" t="s">
        <v>55</v>
      </c>
      <c r="F37">
        <v>5</v>
      </c>
    </row>
    <row r="38" spans="1:6">
      <c r="A38" t="s">
        <v>133</v>
      </c>
      <c r="B38" t="s">
        <v>54</v>
      </c>
      <c r="C38">
        <v>2014</v>
      </c>
      <c r="D38">
        <v>7.8</v>
      </c>
      <c r="E38" t="s">
        <v>55</v>
      </c>
      <c r="F38">
        <v>5</v>
      </c>
    </row>
    <row r="39" spans="1:6">
      <c r="A39" t="s">
        <v>134</v>
      </c>
      <c r="B39" t="s">
        <v>21</v>
      </c>
      <c r="C39">
        <v>2018</v>
      </c>
      <c r="D39">
        <v>1.9</v>
      </c>
      <c r="E39" t="s">
        <v>36</v>
      </c>
      <c r="F39">
        <v>1</v>
      </c>
    </row>
    <row r="40" spans="1:6">
      <c r="A40" t="s">
        <v>135</v>
      </c>
      <c r="B40" t="s">
        <v>21</v>
      </c>
      <c r="C40">
        <v>2021</v>
      </c>
      <c r="D40">
        <v>8.4</v>
      </c>
      <c r="E40" t="s">
        <v>28</v>
      </c>
      <c r="F40">
        <v>1</v>
      </c>
    </row>
    <row r="41" spans="1:6">
      <c r="A41" t="s">
        <v>136</v>
      </c>
      <c r="B41" t="s">
        <v>21</v>
      </c>
      <c r="C41">
        <v>2018</v>
      </c>
      <c r="D41">
        <v>4.0999999999999996</v>
      </c>
      <c r="E41" t="s">
        <v>43</v>
      </c>
      <c r="F41">
        <v>1</v>
      </c>
    </row>
    <row r="42" spans="1:6">
      <c r="A42" t="s">
        <v>137</v>
      </c>
      <c r="B42" t="s">
        <v>21</v>
      </c>
      <c r="C42">
        <v>2022</v>
      </c>
      <c r="D42">
        <v>5.6</v>
      </c>
      <c r="E42" t="s">
        <v>43</v>
      </c>
      <c r="F42">
        <v>1</v>
      </c>
    </row>
    <row r="43" spans="1:6">
      <c r="A43" t="s">
        <v>138</v>
      </c>
      <c r="B43" t="s">
        <v>54</v>
      </c>
      <c r="C43">
        <v>2019</v>
      </c>
      <c r="D43">
        <v>2.8</v>
      </c>
      <c r="E43" t="s">
        <v>66</v>
      </c>
      <c r="F43">
        <v>5</v>
      </c>
    </row>
    <row r="44" spans="1:6">
      <c r="A44" t="s">
        <v>139</v>
      </c>
      <c r="B44" t="s">
        <v>54</v>
      </c>
      <c r="C44">
        <v>2018</v>
      </c>
      <c r="D44">
        <v>6.1</v>
      </c>
      <c r="E44" t="s">
        <v>66</v>
      </c>
      <c r="F44">
        <v>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844A-A268-40BF-841F-16852CF45C11}">
  <dimension ref="A1:G26"/>
  <sheetViews>
    <sheetView workbookViewId="0">
      <selection activeCell="B21" sqref="B21"/>
    </sheetView>
  </sheetViews>
  <sheetFormatPr defaultRowHeight="15"/>
  <cols>
    <col min="1" max="1" width="8.5703125" customWidth="1"/>
    <col min="2" max="2" width="80" style="3" customWidth="1"/>
    <col min="3" max="3" width="41.85546875" customWidth="1"/>
    <col min="5" max="5" width="28.5703125" customWidth="1"/>
    <col min="6" max="6" width="47.5703125" customWidth="1"/>
    <col min="7" max="7" width="62.85546875" customWidth="1"/>
  </cols>
  <sheetData>
    <row r="1" spans="1:7">
      <c r="A1" s="4" t="s">
        <v>140</v>
      </c>
      <c r="B1" s="5" t="s">
        <v>141</v>
      </c>
      <c r="C1" s="4" t="s">
        <v>142</v>
      </c>
      <c r="E1" s="4" t="s">
        <v>143</v>
      </c>
      <c r="F1" s="4" t="s">
        <v>144</v>
      </c>
      <c r="G1" s="4" t="s">
        <v>145</v>
      </c>
    </row>
    <row r="2" spans="1:7">
      <c r="A2">
        <v>1</v>
      </c>
      <c r="B2" s="6" t="s">
        <v>146</v>
      </c>
      <c r="C2" t="s">
        <v>147</v>
      </c>
      <c r="E2" s="7" t="s">
        <v>11</v>
      </c>
      <c r="F2" s="7" t="s">
        <v>148</v>
      </c>
      <c r="G2" s="7" t="s">
        <v>149</v>
      </c>
    </row>
    <row r="3" spans="1:7">
      <c r="A3">
        <v>2</v>
      </c>
      <c r="B3" s="6" t="s">
        <v>150</v>
      </c>
      <c r="C3" t="s">
        <v>151</v>
      </c>
      <c r="E3" s="7" t="s">
        <v>12</v>
      </c>
      <c r="F3" s="7" t="s">
        <v>152</v>
      </c>
      <c r="G3" s="7" t="s">
        <v>153</v>
      </c>
    </row>
    <row r="4" spans="1:7">
      <c r="A4">
        <v>3</v>
      </c>
      <c r="B4" s="6" t="s">
        <v>154</v>
      </c>
      <c r="C4" t="s">
        <v>155</v>
      </c>
      <c r="E4" s="7" t="s">
        <v>13</v>
      </c>
      <c r="F4" s="7" t="s">
        <v>156</v>
      </c>
      <c r="G4" s="7" t="s">
        <v>157</v>
      </c>
    </row>
    <row r="5" spans="1:7">
      <c r="A5">
        <v>4</v>
      </c>
      <c r="B5" s="6" t="s">
        <v>158</v>
      </c>
      <c r="C5" t="s">
        <v>159</v>
      </c>
      <c r="E5" s="7" t="s">
        <v>14</v>
      </c>
      <c r="F5" s="7" t="s">
        <v>160</v>
      </c>
      <c r="G5" s="7" t="s">
        <v>161</v>
      </c>
    </row>
    <row r="6" spans="1:7">
      <c r="A6">
        <v>5</v>
      </c>
      <c r="B6" s="6" t="s">
        <v>162</v>
      </c>
      <c r="C6" t="s">
        <v>163</v>
      </c>
      <c r="E6" s="7" t="s">
        <v>15</v>
      </c>
      <c r="F6" s="7" t="s">
        <v>160</v>
      </c>
      <c r="G6" s="7" t="s">
        <v>164</v>
      </c>
    </row>
    <row r="7" spans="1:7">
      <c r="A7">
        <v>6</v>
      </c>
      <c r="B7" s="6" t="s">
        <v>165</v>
      </c>
      <c r="C7" t="s">
        <v>163</v>
      </c>
      <c r="E7" s="7" t="s">
        <v>16</v>
      </c>
      <c r="F7" s="7" t="s">
        <v>166</v>
      </c>
      <c r="G7" s="7" t="s">
        <v>167</v>
      </c>
    </row>
    <row r="8" spans="1:7">
      <c r="A8">
        <v>7</v>
      </c>
      <c r="B8" s="6" t="s">
        <v>168</v>
      </c>
      <c r="C8" t="s">
        <v>169</v>
      </c>
      <c r="E8" s="7" t="s">
        <v>17</v>
      </c>
      <c r="F8" s="7" t="s">
        <v>166</v>
      </c>
      <c r="G8" s="7" t="s">
        <v>170</v>
      </c>
    </row>
    <row r="9" spans="1:7">
      <c r="A9">
        <v>8</v>
      </c>
      <c r="B9" s="6" t="s">
        <v>171</v>
      </c>
      <c r="C9" t="s">
        <v>155</v>
      </c>
      <c r="E9" s="7"/>
      <c r="F9" s="7"/>
      <c r="G9" s="7"/>
    </row>
    <row r="10" spans="1:7">
      <c r="A10">
        <v>9</v>
      </c>
      <c r="B10" s="6" t="s">
        <v>172</v>
      </c>
      <c r="C10" t="s">
        <v>173</v>
      </c>
      <c r="E10" s="7" t="s">
        <v>174</v>
      </c>
      <c r="F10" s="7" t="s">
        <v>175</v>
      </c>
      <c r="G10" s="7" t="s">
        <v>176</v>
      </c>
    </row>
    <row r="11" spans="1:7">
      <c r="A11">
        <v>10</v>
      </c>
      <c r="B11" s="6" t="s">
        <v>177</v>
      </c>
      <c r="C11" t="s">
        <v>178</v>
      </c>
      <c r="E11" t="s">
        <v>179</v>
      </c>
      <c r="F11" t="s">
        <v>180</v>
      </c>
      <c r="G11" t="s">
        <v>181</v>
      </c>
    </row>
    <row r="12" spans="1:7">
      <c r="A12">
        <v>11</v>
      </c>
      <c r="B12" s="6" t="s">
        <v>182</v>
      </c>
      <c r="C12" t="s">
        <v>183</v>
      </c>
      <c r="E12" t="s">
        <v>184</v>
      </c>
      <c r="F12" t="s">
        <v>185</v>
      </c>
      <c r="G12" t="s">
        <v>186</v>
      </c>
    </row>
    <row r="13" spans="1:7">
      <c r="A13">
        <v>12</v>
      </c>
      <c r="B13" s="6" t="s">
        <v>187</v>
      </c>
      <c r="C13" t="s">
        <v>188</v>
      </c>
    </row>
    <row r="14" spans="1:7" ht="30.75">
      <c r="A14">
        <v>13</v>
      </c>
      <c r="B14" s="6" t="s">
        <v>189</v>
      </c>
      <c r="C14" t="s">
        <v>190</v>
      </c>
    </row>
    <row r="15" spans="1:7">
      <c r="A15">
        <v>14</v>
      </c>
      <c r="B15" s="6" t="s">
        <v>191</v>
      </c>
      <c r="C15" t="s">
        <v>192</v>
      </c>
    </row>
    <row r="16" spans="1:7">
      <c r="A16">
        <v>15</v>
      </c>
      <c r="B16" s="6" t="s">
        <v>193</v>
      </c>
      <c r="C16" t="s">
        <v>194</v>
      </c>
    </row>
    <row r="17" spans="1:3" ht="30.75">
      <c r="A17">
        <v>16</v>
      </c>
      <c r="B17" s="6" t="s">
        <v>195</v>
      </c>
      <c r="C17" t="s">
        <v>196</v>
      </c>
    </row>
    <row r="18" spans="1:3">
      <c r="A18">
        <v>17</v>
      </c>
      <c r="B18" s="6" t="s">
        <v>197</v>
      </c>
      <c r="C18" t="s">
        <v>198</v>
      </c>
    </row>
    <row r="19" spans="1:3">
      <c r="A19">
        <v>18</v>
      </c>
      <c r="B19" s="6" t="s">
        <v>199</v>
      </c>
      <c r="C19" t="s">
        <v>200</v>
      </c>
    </row>
    <row r="20" spans="1:3">
      <c r="A20">
        <v>19</v>
      </c>
      <c r="B20" s="6" t="s">
        <v>201</v>
      </c>
      <c r="C20" t="s">
        <v>202</v>
      </c>
    </row>
    <row r="21" spans="1:3">
      <c r="A21">
        <v>20</v>
      </c>
      <c r="B21" s="6" t="s">
        <v>203</v>
      </c>
      <c r="C21" t="s">
        <v>204</v>
      </c>
    </row>
    <row r="22" spans="1:3">
      <c r="A22">
        <v>21</v>
      </c>
      <c r="B22" s="6" t="s">
        <v>205</v>
      </c>
      <c r="C22" t="s">
        <v>206</v>
      </c>
    </row>
    <row r="23" spans="1:3">
      <c r="A23">
        <v>22</v>
      </c>
      <c r="B23" s="6" t="s">
        <v>207</v>
      </c>
      <c r="C23" t="s">
        <v>208</v>
      </c>
    </row>
    <row r="24" spans="1:3">
      <c r="A24">
        <v>23</v>
      </c>
      <c r="B24" s="6" t="s">
        <v>209</v>
      </c>
      <c r="C24" t="s">
        <v>210</v>
      </c>
    </row>
    <row r="25" spans="1:3">
      <c r="A25">
        <v>24</v>
      </c>
      <c r="B25" s="6" t="s">
        <v>211</v>
      </c>
      <c r="C25" t="s">
        <v>212</v>
      </c>
    </row>
    <row r="26" spans="1:3">
      <c r="A26">
        <v>25</v>
      </c>
      <c r="B26" s="6" t="s">
        <v>213</v>
      </c>
      <c r="C26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5"/>
  <sheetViews>
    <sheetView zoomScale="160" zoomScaleNormal="160" workbookViewId="0">
      <selection activeCell="C7" sqref="C7"/>
    </sheetView>
  </sheetViews>
  <sheetFormatPr defaultRowHeight="15"/>
  <cols>
    <col min="1" max="1" width="9.85546875" customWidth="1"/>
    <col min="5" max="5" width="9.42578125" customWidth="1"/>
  </cols>
  <sheetData>
    <row r="1" spans="1:5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</row>
    <row r="2" spans="1:5">
      <c r="A2">
        <v>101</v>
      </c>
      <c r="B2">
        <v>1</v>
      </c>
      <c r="C2">
        <v>12.5</v>
      </c>
      <c r="D2" t="s">
        <v>32</v>
      </c>
      <c r="E2" t="s">
        <v>24</v>
      </c>
    </row>
    <row r="3" spans="1:5">
      <c r="A3">
        <v>102</v>
      </c>
      <c r="B3">
        <v>200</v>
      </c>
      <c r="C3">
        <v>954.8</v>
      </c>
      <c r="D3" t="s">
        <v>23</v>
      </c>
      <c r="E3" t="s">
        <v>56</v>
      </c>
    </row>
    <row r="4" spans="1:5">
      <c r="A4">
        <v>103</v>
      </c>
      <c r="B4">
        <v>165</v>
      </c>
      <c r="C4">
        <v>644.79999999999995</v>
      </c>
      <c r="D4" t="s">
        <v>23</v>
      </c>
      <c r="E4" t="s">
        <v>56</v>
      </c>
    </row>
    <row r="5" spans="1:5">
      <c r="A5">
        <v>104</v>
      </c>
      <c r="B5">
        <v>180</v>
      </c>
      <c r="C5">
        <v>854</v>
      </c>
      <c r="D5" t="s">
        <v>23</v>
      </c>
      <c r="E5" t="s">
        <v>56</v>
      </c>
    </row>
    <row r="6" spans="1:5">
      <c r="A6">
        <v>105</v>
      </c>
      <c r="B6">
        <v>250</v>
      </c>
      <c r="C6">
        <v>670</v>
      </c>
      <c r="D6" t="s">
        <v>23</v>
      </c>
      <c r="E6" t="s">
        <v>56</v>
      </c>
    </row>
    <row r="7" spans="1:5">
      <c r="A7">
        <v>107</v>
      </c>
      <c r="B7">
        <v>400</v>
      </c>
      <c r="C7">
        <v>2000</v>
      </c>
      <c r="D7" t="s">
        <v>23</v>
      </c>
      <c r="E7" t="s">
        <v>24</v>
      </c>
    </row>
    <row r="8" spans="1:5">
      <c r="A8">
        <v>108</v>
      </c>
      <c r="B8">
        <v>550</v>
      </c>
      <c r="C8">
        <v>4000</v>
      </c>
      <c r="D8" t="s">
        <v>23</v>
      </c>
      <c r="E8" t="s">
        <v>24</v>
      </c>
    </row>
    <row r="9" spans="1:5">
      <c r="A9">
        <v>109</v>
      </c>
      <c r="B9">
        <v>390</v>
      </c>
      <c r="C9">
        <v>1360</v>
      </c>
      <c r="D9" t="s">
        <v>23</v>
      </c>
      <c r="E9" t="s">
        <v>24</v>
      </c>
    </row>
    <row r="10" spans="1:5">
      <c r="A10">
        <v>110</v>
      </c>
      <c r="B10">
        <v>1.4</v>
      </c>
      <c r="C10">
        <v>3.5</v>
      </c>
      <c r="D10" t="s">
        <v>32</v>
      </c>
      <c r="E10" t="s">
        <v>24</v>
      </c>
    </row>
    <row r="11" spans="1:5">
      <c r="A11">
        <v>111</v>
      </c>
      <c r="B11">
        <v>25</v>
      </c>
      <c r="C11">
        <v>73.3</v>
      </c>
      <c r="D11" t="s">
        <v>23</v>
      </c>
      <c r="E11" t="s">
        <v>56</v>
      </c>
    </row>
    <row r="12" spans="1:5">
      <c r="A12">
        <v>113</v>
      </c>
      <c r="B12">
        <v>165</v>
      </c>
      <c r="C12">
        <v>701.8</v>
      </c>
      <c r="D12" t="s">
        <v>23</v>
      </c>
      <c r="E12" t="s">
        <v>56</v>
      </c>
    </row>
    <row r="13" spans="1:5">
      <c r="A13">
        <v>114</v>
      </c>
      <c r="B13">
        <v>205</v>
      </c>
      <c r="C13">
        <v>365.3</v>
      </c>
      <c r="D13" t="s">
        <v>23</v>
      </c>
      <c r="E13" t="s">
        <v>56</v>
      </c>
    </row>
    <row r="14" spans="1:5">
      <c r="A14">
        <v>115</v>
      </c>
      <c r="B14">
        <v>55</v>
      </c>
      <c r="C14">
        <v>307.10000000000002</v>
      </c>
      <c r="D14" t="s">
        <v>23</v>
      </c>
      <c r="E14" t="s">
        <v>56</v>
      </c>
    </row>
    <row r="15" spans="1:5">
      <c r="A15">
        <v>116</v>
      </c>
      <c r="B15">
        <v>103</v>
      </c>
      <c r="C15">
        <v>460.5</v>
      </c>
      <c r="D15" t="s">
        <v>23</v>
      </c>
      <c r="E15" t="s">
        <v>56</v>
      </c>
    </row>
    <row r="16" spans="1:5">
      <c r="A16">
        <v>117</v>
      </c>
      <c r="B16">
        <v>200</v>
      </c>
      <c r="C16">
        <v>2202</v>
      </c>
      <c r="D16" t="s">
        <v>23</v>
      </c>
      <c r="E16" t="s">
        <v>56</v>
      </c>
    </row>
    <row r="17" spans="1:5">
      <c r="A17">
        <v>118</v>
      </c>
      <c r="B17">
        <v>3.18</v>
      </c>
      <c r="C17">
        <v>3.3</v>
      </c>
      <c r="D17" t="s">
        <v>23</v>
      </c>
      <c r="E17" t="s">
        <v>56</v>
      </c>
    </row>
    <row r="18" spans="1:5">
      <c r="A18">
        <v>119</v>
      </c>
      <c r="B18">
        <v>237</v>
      </c>
      <c r="C18">
        <v>2847</v>
      </c>
      <c r="D18" t="s">
        <v>23</v>
      </c>
      <c r="E18" t="s">
        <v>56</v>
      </c>
    </row>
    <row r="19" spans="1:5">
      <c r="A19">
        <v>120</v>
      </c>
      <c r="B19">
        <v>7.2</v>
      </c>
      <c r="C19">
        <v>291</v>
      </c>
      <c r="D19" t="s">
        <v>23</v>
      </c>
      <c r="E19" t="s">
        <v>56</v>
      </c>
    </row>
    <row r="20" spans="1:5">
      <c r="A20">
        <v>121</v>
      </c>
      <c r="B20">
        <v>185</v>
      </c>
      <c r="C20">
        <v>1006</v>
      </c>
      <c r="D20" t="s">
        <v>23</v>
      </c>
      <c r="E20" t="s">
        <v>56</v>
      </c>
    </row>
    <row r="21" spans="1:5">
      <c r="A21">
        <v>122</v>
      </c>
      <c r="B21">
        <v>22</v>
      </c>
      <c r="C21">
        <v>322.2</v>
      </c>
      <c r="D21" t="s">
        <v>23</v>
      </c>
      <c r="E21" t="s">
        <v>56</v>
      </c>
    </row>
    <row r="22" spans="1:5">
      <c r="A22">
        <v>123</v>
      </c>
      <c r="B22">
        <v>63</v>
      </c>
      <c r="C22">
        <v>1046</v>
      </c>
      <c r="D22" t="s">
        <v>23</v>
      </c>
      <c r="E22" t="s">
        <v>56</v>
      </c>
    </row>
    <row r="23" spans="1:5">
      <c r="A23">
        <v>124</v>
      </c>
      <c r="B23">
        <v>15.5</v>
      </c>
      <c r="C23">
        <v>263.10000000000002</v>
      </c>
      <c r="D23" t="s">
        <v>23</v>
      </c>
      <c r="E23" t="s">
        <v>56</v>
      </c>
    </row>
    <row r="24" spans="1:5">
      <c r="A24">
        <v>125</v>
      </c>
      <c r="B24">
        <v>400</v>
      </c>
      <c r="C24">
        <v>2798</v>
      </c>
      <c r="D24" t="s">
        <v>23</v>
      </c>
      <c r="E24" t="s">
        <v>56</v>
      </c>
    </row>
    <row r="25" spans="1:5">
      <c r="A25">
        <v>126</v>
      </c>
      <c r="B25">
        <v>400</v>
      </c>
      <c r="C25">
        <v>2048</v>
      </c>
      <c r="D25" t="s">
        <v>23</v>
      </c>
      <c r="E25" t="s">
        <v>56</v>
      </c>
    </row>
    <row r="26" spans="1:5">
      <c r="A26">
        <v>127</v>
      </c>
      <c r="B26">
        <v>70</v>
      </c>
      <c r="C26">
        <v>100</v>
      </c>
      <c r="D26" t="s">
        <v>23</v>
      </c>
      <c r="E26" t="s">
        <v>24</v>
      </c>
    </row>
    <row r="27" spans="1:5">
      <c r="A27">
        <v>128</v>
      </c>
      <c r="B27">
        <v>120</v>
      </c>
      <c r="C27">
        <v>1350</v>
      </c>
      <c r="D27" t="s">
        <v>23</v>
      </c>
      <c r="E27" t="s">
        <v>24</v>
      </c>
    </row>
    <row r="28" spans="1:5">
      <c r="A28">
        <v>129</v>
      </c>
      <c r="B28">
        <v>100</v>
      </c>
      <c r="C28">
        <v>410</v>
      </c>
      <c r="D28" t="s">
        <v>23</v>
      </c>
      <c r="E28" t="s">
        <v>24</v>
      </c>
    </row>
    <row r="29" spans="1:5">
      <c r="A29">
        <v>130</v>
      </c>
      <c r="B29">
        <v>850</v>
      </c>
      <c r="C29">
        <v>8540</v>
      </c>
      <c r="D29" t="s">
        <v>23</v>
      </c>
      <c r="E29" t="s">
        <v>24</v>
      </c>
    </row>
    <row r="30" spans="1:5">
      <c r="A30">
        <v>131</v>
      </c>
      <c r="B30">
        <v>1</v>
      </c>
      <c r="C30">
        <v>5.9</v>
      </c>
      <c r="D30" t="s">
        <v>32</v>
      </c>
      <c r="E30" t="s">
        <v>24</v>
      </c>
    </row>
    <row r="31" spans="1:5">
      <c r="A31">
        <v>132</v>
      </c>
      <c r="B31">
        <v>2</v>
      </c>
      <c r="C31">
        <v>3.6</v>
      </c>
      <c r="D31" t="s">
        <v>32</v>
      </c>
      <c r="E31" t="s">
        <v>24</v>
      </c>
    </row>
    <row r="32" spans="1:5">
      <c r="A32">
        <v>133</v>
      </c>
      <c r="B32">
        <v>5.5</v>
      </c>
      <c r="C32">
        <v>12</v>
      </c>
      <c r="D32" t="s">
        <v>32</v>
      </c>
      <c r="E32" t="s">
        <v>24</v>
      </c>
    </row>
    <row r="33" spans="1:5">
      <c r="A33">
        <v>134</v>
      </c>
      <c r="B33">
        <v>1.8</v>
      </c>
      <c r="C33">
        <v>6.5</v>
      </c>
      <c r="D33" t="s">
        <v>32</v>
      </c>
      <c r="E33" t="s">
        <v>24</v>
      </c>
    </row>
    <row r="34" spans="1:5">
      <c r="A34">
        <v>135</v>
      </c>
      <c r="B34">
        <v>250</v>
      </c>
      <c r="C34">
        <v>3409</v>
      </c>
      <c r="D34" t="s">
        <v>23</v>
      </c>
      <c r="E34" t="s">
        <v>24</v>
      </c>
    </row>
    <row r="35" spans="1:5">
      <c r="A35">
        <v>136</v>
      </c>
      <c r="B35">
        <v>900</v>
      </c>
      <c r="C35">
        <v>11690</v>
      </c>
      <c r="D35" t="s">
        <v>23</v>
      </c>
      <c r="E35" t="s">
        <v>24</v>
      </c>
    </row>
    <row r="36" spans="1:5">
      <c r="A36">
        <v>137</v>
      </c>
      <c r="B36">
        <v>216.7</v>
      </c>
      <c r="C36">
        <v>370.6</v>
      </c>
      <c r="D36" t="s">
        <v>23</v>
      </c>
      <c r="E36" t="s">
        <v>56</v>
      </c>
    </row>
    <row r="37" spans="1:5">
      <c r="A37">
        <v>138</v>
      </c>
      <c r="B37">
        <v>177</v>
      </c>
      <c r="C37">
        <v>714.4</v>
      </c>
      <c r="D37" t="s">
        <v>23</v>
      </c>
      <c r="E37" t="s">
        <v>56</v>
      </c>
    </row>
    <row r="38" spans="1:5">
      <c r="A38">
        <v>139</v>
      </c>
      <c r="B38">
        <v>1.8</v>
      </c>
      <c r="C38">
        <v>3.1</v>
      </c>
      <c r="D38" t="s">
        <v>32</v>
      </c>
      <c r="E38" t="s">
        <v>24</v>
      </c>
    </row>
    <row r="39" spans="1:5">
      <c r="A39">
        <v>140</v>
      </c>
      <c r="B39">
        <v>500</v>
      </c>
      <c r="C39">
        <v>950</v>
      </c>
      <c r="D39" t="s">
        <v>23</v>
      </c>
      <c r="E39" t="s">
        <v>24</v>
      </c>
    </row>
    <row r="40" spans="1:5">
      <c r="A40">
        <v>406</v>
      </c>
      <c r="B40">
        <v>30</v>
      </c>
      <c r="C40">
        <v>350</v>
      </c>
      <c r="D40" t="s">
        <v>23</v>
      </c>
      <c r="E40" t="s">
        <v>24</v>
      </c>
    </row>
    <row r="41" spans="1:5">
      <c r="A41">
        <v>412</v>
      </c>
      <c r="B41">
        <v>160</v>
      </c>
      <c r="C41">
        <v>836.8</v>
      </c>
      <c r="D41" t="s">
        <v>23</v>
      </c>
      <c r="E41" t="s">
        <v>56</v>
      </c>
    </row>
    <row r="42" spans="1:5">
      <c r="A42">
        <v>141</v>
      </c>
      <c r="B42">
        <v>3</v>
      </c>
      <c r="C42">
        <v>1.5</v>
      </c>
      <c r="D42" t="s">
        <v>32</v>
      </c>
      <c r="E42" t="s">
        <v>24</v>
      </c>
    </row>
    <row r="43" spans="1:5">
      <c r="A43">
        <v>142</v>
      </c>
      <c r="B43">
        <v>1.5</v>
      </c>
      <c r="C43">
        <v>0.65</v>
      </c>
      <c r="D43" t="s">
        <v>32</v>
      </c>
      <c r="E43" t="s">
        <v>24</v>
      </c>
    </row>
    <row r="44" spans="1:5">
      <c r="A44">
        <v>143</v>
      </c>
      <c r="B44">
        <v>95</v>
      </c>
      <c r="C44">
        <v>75.3</v>
      </c>
      <c r="D44" t="s">
        <v>23</v>
      </c>
      <c r="E44" t="s">
        <v>56</v>
      </c>
    </row>
    <row r="45" spans="1:5">
      <c r="A45">
        <v>144</v>
      </c>
      <c r="B45">
        <v>100</v>
      </c>
      <c r="C45">
        <v>83.7</v>
      </c>
      <c r="D45" t="s">
        <v>23</v>
      </c>
      <c r="E45" t="s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E12" sqref="E12"/>
    </sheetView>
  </sheetViews>
  <sheetFormatPr defaultRowHeight="15"/>
  <cols>
    <col min="2" max="2" width="26.42578125" customWidth="1"/>
    <col min="3" max="3" width="10.85546875" customWidth="1"/>
  </cols>
  <sheetData>
    <row r="1" spans="1:3">
      <c r="A1" s="2" t="s">
        <v>220</v>
      </c>
      <c r="B1" s="2" t="s">
        <v>221</v>
      </c>
      <c r="C1" s="2" t="s">
        <v>222</v>
      </c>
    </row>
    <row r="2" spans="1:3">
      <c r="A2">
        <v>50</v>
      </c>
      <c r="B2" t="s">
        <v>223</v>
      </c>
      <c r="C2">
        <v>1986</v>
      </c>
    </row>
    <row r="3" spans="1:3">
      <c r="A3">
        <v>51</v>
      </c>
      <c r="B3" t="s">
        <v>224</v>
      </c>
      <c r="C3">
        <v>1959</v>
      </c>
    </row>
    <row r="4" spans="1:3">
      <c r="A4">
        <v>52</v>
      </c>
      <c r="B4" t="s">
        <v>225</v>
      </c>
      <c r="C4">
        <v>1976</v>
      </c>
    </row>
    <row r="5" spans="1:3">
      <c r="A5">
        <v>53</v>
      </c>
      <c r="B5" t="s">
        <v>226</v>
      </c>
      <c r="C5">
        <v>1989</v>
      </c>
    </row>
    <row r="6" spans="1:3">
      <c r="A6">
        <v>54</v>
      </c>
      <c r="B6" t="s">
        <v>227</v>
      </c>
      <c r="C6">
        <v>1983</v>
      </c>
    </row>
    <row r="7" spans="1:3">
      <c r="A7">
        <v>55</v>
      </c>
      <c r="B7" t="s">
        <v>228</v>
      </c>
      <c r="C7">
        <v>1981</v>
      </c>
    </row>
    <row r="8" spans="1:3">
      <c r="A8">
        <v>56</v>
      </c>
      <c r="B8" t="s">
        <v>229</v>
      </c>
      <c r="C8">
        <v>1981</v>
      </c>
    </row>
    <row r="9" spans="1:3">
      <c r="A9">
        <v>57</v>
      </c>
      <c r="B9" t="s">
        <v>230</v>
      </c>
      <c r="C9">
        <v>1942</v>
      </c>
    </row>
    <row r="10" spans="1:3">
      <c r="A10">
        <v>58</v>
      </c>
      <c r="B10" t="s">
        <v>231</v>
      </c>
      <c r="C10">
        <v>1948</v>
      </c>
    </row>
    <row r="11" spans="1:3">
      <c r="A11">
        <v>59</v>
      </c>
      <c r="B11" t="s">
        <v>232</v>
      </c>
      <c r="C11">
        <v>1965</v>
      </c>
    </row>
    <row r="12" spans="1:3">
      <c r="A12">
        <v>60</v>
      </c>
      <c r="B12" t="s">
        <v>233</v>
      </c>
      <c r="C12">
        <v>1974</v>
      </c>
    </row>
    <row r="13" spans="1:3">
      <c r="A13">
        <v>61</v>
      </c>
      <c r="B13" t="s">
        <v>234</v>
      </c>
      <c r="C13">
        <v>1965</v>
      </c>
    </row>
    <row r="14" spans="1:3">
      <c r="A14">
        <v>62</v>
      </c>
      <c r="B14" t="s">
        <v>235</v>
      </c>
      <c r="C14">
        <v>1970</v>
      </c>
    </row>
    <row r="15" spans="1:3">
      <c r="A15">
        <v>63</v>
      </c>
      <c r="B15" t="s">
        <v>236</v>
      </c>
      <c r="C15">
        <v>1979</v>
      </c>
    </row>
    <row r="16" spans="1:3">
      <c r="A16">
        <v>64</v>
      </c>
      <c r="B16" t="s">
        <v>237</v>
      </c>
      <c r="C16">
        <v>1974</v>
      </c>
    </row>
    <row r="17" spans="1:3">
      <c r="A17">
        <v>65</v>
      </c>
      <c r="B17" t="s">
        <v>238</v>
      </c>
      <c r="C17">
        <v>1985</v>
      </c>
    </row>
    <row r="18" spans="1:3">
      <c r="A18">
        <v>66</v>
      </c>
      <c r="B18" t="s">
        <v>239</v>
      </c>
      <c r="C18">
        <v>1986</v>
      </c>
    </row>
    <row r="19" spans="1:3">
      <c r="A19">
        <v>67</v>
      </c>
      <c r="B19" t="s">
        <v>240</v>
      </c>
      <c r="C19">
        <v>1958</v>
      </c>
    </row>
    <row r="20" spans="1:3">
      <c r="A20">
        <v>68</v>
      </c>
      <c r="B20" t="s">
        <v>241</v>
      </c>
      <c r="C20">
        <v>1937</v>
      </c>
    </row>
    <row r="21" spans="1:3">
      <c r="A21">
        <v>69</v>
      </c>
      <c r="B21" t="s">
        <v>242</v>
      </c>
      <c r="C21">
        <v>1974</v>
      </c>
    </row>
    <row r="22" spans="1:3">
      <c r="A22">
        <v>70</v>
      </c>
      <c r="B22" t="s">
        <v>243</v>
      </c>
      <c r="C22">
        <v>1959</v>
      </c>
    </row>
    <row r="23" spans="1:3">
      <c r="A23">
        <v>71</v>
      </c>
      <c r="B23" t="s">
        <v>244</v>
      </c>
      <c r="C23">
        <v>1969</v>
      </c>
    </row>
    <row r="24" spans="1:3">
      <c r="A24">
        <v>72</v>
      </c>
      <c r="B24" t="s">
        <v>245</v>
      </c>
      <c r="C24">
        <v>1982</v>
      </c>
    </row>
    <row r="25" spans="1:3">
      <c r="A25">
        <v>73</v>
      </c>
      <c r="B25" t="s">
        <v>246</v>
      </c>
      <c r="C25">
        <v>1984</v>
      </c>
    </row>
    <row r="26" spans="1:3">
      <c r="A26">
        <v>74</v>
      </c>
      <c r="B26" t="s">
        <v>247</v>
      </c>
      <c r="C26">
        <v>1986</v>
      </c>
    </row>
    <row r="27" spans="1:3">
      <c r="A27">
        <v>75</v>
      </c>
      <c r="B27" t="s">
        <v>248</v>
      </c>
      <c r="C27">
        <v>1968</v>
      </c>
    </row>
    <row r="28" spans="1:3">
      <c r="A28">
        <v>76</v>
      </c>
      <c r="B28" t="s">
        <v>249</v>
      </c>
      <c r="C28">
        <v>1972</v>
      </c>
    </row>
    <row r="29" spans="1:3">
      <c r="A29">
        <v>77</v>
      </c>
      <c r="B29" t="s">
        <v>250</v>
      </c>
      <c r="C29">
        <v>1964</v>
      </c>
    </row>
    <row r="30" spans="1:3">
      <c r="A30">
        <v>78</v>
      </c>
      <c r="B30" t="s">
        <v>251</v>
      </c>
      <c r="C30">
        <v>1974</v>
      </c>
    </row>
    <row r="31" spans="1:3">
      <c r="A31">
        <v>79</v>
      </c>
      <c r="B31" t="s">
        <v>252</v>
      </c>
      <c r="C31">
        <v>1975</v>
      </c>
    </row>
    <row r="32" spans="1:3">
      <c r="A32">
        <v>80</v>
      </c>
      <c r="B32" t="s">
        <v>253</v>
      </c>
      <c r="C32">
        <v>1908</v>
      </c>
    </row>
    <row r="33" spans="1:3">
      <c r="A33">
        <v>81</v>
      </c>
      <c r="B33" t="s">
        <v>254</v>
      </c>
      <c r="C33">
        <v>1921</v>
      </c>
    </row>
    <row r="34" spans="1:3">
      <c r="A34">
        <v>82</v>
      </c>
      <c r="B34" t="s">
        <v>255</v>
      </c>
      <c r="C34">
        <v>1976</v>
      </c>
    </row>
    <row r="35" spans="1:3">
      <c r="A35">
        <v>83</v>
      </c>
      <c r="B35" t="s">
        <v>256</v>
      </c>
      <c r="C35">
        <v>1978</v>
      </c>
    </row>
    <row r="36" spans="1:3">
      <c r="A36">
        <v>84</v>
      </c>
      <c r="B36" t="s">
        <v>257</v>
      </c>
      <c r="C36">
        <v>1924</v>
      </c>
    </row>
    <row r="37" spans="1:3">
      <c r="A37">
        <v>85</v>
      </c>
      <c r="B37" t="s">
        <v>258</v>
      </c>
      <c r="C37">
        <v>1940</v>
      </c>
    </row>
    <row r="38" spans="1:3">
      <c r="A38">
        <v>86</v>
      </c>
      <c r="B38" t="s">
        <v>259</v>
      </c>
      <c r="C38">
        <v>1974</v>
      </c>
    </row>
    <row r="39" spans="1:3">
      <c r="A39">
        <v>87</v>
      </c>
      <c r="B39" t="s">
        <v>260</v>
      </c>
      <c r="C39">
        <v>1979</v>
      </c>
    </row>
    <row r="40" spans="1:3">
      <c r="A40">
        <v>88</v>
      </c>
      <c r="B40" t="s">
        <v>261</v>
      </c>
      <c r="C40">
        <v>1952</v>
      </c>
    </row>
    <row r="41" spans="1:3">
      <c r="A41">
        <v>89</v>
      </c>
      <c r="B41" t="s">
        <v>262</v>
      </c>
      <c r="C41">
        <v>1943</v>
      </c>
    </row>
    <row r="42" spans="1:3">
      <c r="A42">
        <v>90</v>
      </c>
      <c r="B42" t="s">
        <v>263</v>
      </c>
      <c r="C42">
        <v>1947</v>
      </c>
    </row>
    <row r="43" spans="1:3">
      <c r="A43">
        <v>91</v>
      </c>
      <c r="B43" t="s">
        <v>264</v>
      </c>
      <c r="C43">
        <v>1967</v>
      </c>
    </row>
    <row r="44" spans="1:3">
      <c r="A44">
        <v>92</v>
      </c>
      <c r="B44" t="s">
        <v>265</v>
      </c>
      <c r="C44">
        <v>1967</v>
      </c>
    </row>
    <row r="45" spans="1:3">
      <c r="A45">
        <v>93</v>
      </c>
      <c r="B45" t="s">
        <v>266</v>
      </c>
      <c r="C45">
        <v>1975</v>
      </c>
    </row>
    <row r="46" spans="1:3">
      <c r="A46">
        <v>94</v>
      </c>
      <c r="B46" t="s">
        <v>267</v>
      </c>
      <c r="C46">
        <v>1965</v>
      </c>
    </row>
    <row r="47" spans="1:3">
      <c r="A47">
        <v>95</v>
      </c>
      <c r="B47" t="s">
        <v>268</v>
      </c>
      <c r="C47">
        <v>1981</v>
      </c>
    </row>
    <row r="48" spans="1:3">
      <c r="A48">
        <v>150</v>
      </c>
      <c r="B48" t="s">
        <v>269</v>
      </c>
      <c r="C48">
        <v>1905</v>
      </c>
    </row>
    <row r="49" spans="1:3">
      <c r="A49">
        <v>151</v>
      </c>
      <c r="B49" t="s">
        <v>270</v>
      </c>
      <c r="C49">
        <v>1919</v>
      </c>
    </row>
    <row r="50" spans="1:3">
      <c r="A50">
        <v>152</v>
      </c>
      <c r="B50" t="s">
        <v>271</v>
      </c>
      <c r="C50">
        <v>1997</v>
      </c>
    </row>
    <row r="51" spans="1:3">
      <c r="A51">
        <v>153</v>
      </c>
      <c r="B51" t="s">
        <v>272</v>
      </c>
      <c r="C51">
        <v>1929</v>
      </c>
    </row>
    <row r="52" spans="1:3">
      <c r="A52">
        <v>154</v>
      </c>
      <c r="B52" t="s">
        <v>273</v>
      </c>
      <c r="C52">
        <v>1988</v>
      </c>
    </row>
    <row r="53" spans="1:3">
      <c r="A53">
        <v>155</v>
      </c>
      <c r="B53" t="s">
        <v>274</v>
      </c>
      <c r="C53">
        <v>1982</v>
      </c>
    </row>
    <row r="54" spans="1:3">
      <c r="A54">
        <v>156</v>
      </c>
      <c r="B54" t="s">
        <v>275</v>
      </c>
      <c r="C54">
        <v>1982</v>
      </c>
    </row>
    <row r="55" spans="1:3">
      <c r="A55">
        <v>157</v>
      </c>
      <c r="B55" t="s">
        <v>276</v>
      </c>
      <c r="C55">
        <v>1982</v>
      </c>
    </row>
    <row r="56" spans="1:3">
      <c r="A56">
        <v>158</v>
      </c>
      <c r="B56" t="s">
        <v>277</v>
      </c>
      <c r="C56">
        <v>1983</v>
      </c>
    </row>
    <row r="57" spans="1:3">
      <c r="A57">
        <v>159</v>
      </c>
      <c r="B57" t="s">
        <v>278</v>
      </c>
      <c r="C57">
        <v>1985</v>
      </c>
    </row>
    <row r="58" spans="1:3">
      <c r="A58">
        <v>160</v>
      </c>
      <c r="B58" t="s">
        <v>279</v>
      </c>
      <c r="C58">
        <v>1979</v>
      </c>
    </row>
    <row r="59" spans="1:3">
      <c r="A59">
        <v>161</v>
      </c>
      <c r="B59" t="s">
        <v>280</v>
      </c>
      <c r="C59">
        <v>1984</v>
      </c>
    </row>
    <row r="60" spans="1:3">
      <c r="A60">
        <v>162</v>
      </c>
      <c r="B60" t="s">
        <v>281</v>
      </c>
      <c r="C60">
        <v>1950</v>
      </c>
    </row>
    <row r="61" spans="1:3">
      <c r="A61">
        <v>163</v>
      </c>
      <c r="B61" t="s">
        <v>282</v>
      </c>
      <c r="C61">
        <v>1955</v>
      </c>
    </row>
    <row r="62" spans="1:3">
      <c r="A62">
        <v>164</v>
      </c>
      <c r="B62" t="s">
        <v>283</v>
      </c>
      <c r="C62">
        <v>1965</v>
      </c>
    </row>
    <row r="63" spans="1:3">
      <c r="A63">
        <v>165</v>
      </c>
      <c r="B63" t="s">
        <v>284</v>
      </c>
      <c r="C63">
        <v>1967</v>
      </c>
    </row>
    <row r="64" spans="1:3">
      <c r="A64">
        <v>166</v>
      </c>
      <c r="B64" t="s">
        <v>285</v>
      </c>
      <c r="C64">
        <v>1946</v>
      </c>
    </row>
    <row r="65" spans="1:3">
      <c r="A65">
        <v>167</v>
      </c>
      <c r="B65" t="s">
        <v>286</v>
      </c>
      <c r="C65">
        <v>1982</v>
      </c>
    </row>
    <row r="66" spans="1:3">
      <c r="A66">
        <v>168</v>
      </c>
      <c r="B66" t="s">
        <v>287</v>
      </c>
      <c r="C66">
        <v>1956</v>
      </c>
    </row>
    <row r="67" spans="1:3">
      <c r="A67">
        <v>169</v>
      </c>
      <c r="B67" t="s">
        <v>288</v>
      </c>
      <c r="C67">
        <v>1985</v>
      </c>
    </row>
    <row r="68" spans="1:3">
      <c r="A68">
        <v>170</v>
      </c>
      <c r="B68" t="s">
        <v>289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D16" sqref="D16"/>
    </sheetView>
  </sheetViews>
  <sheetFormatPr defaultRowHeight="15"/>
  <cols>
    <col min="1" max="1" width="9.85546875" customWidth="1"/>
  </cols>
  <sheetData>
    <row r="1" spans="1:2">
      <c r="A1" s="2" t="s">
        <v>215</v>
      </c>
      <c r="B1" s="2" t="s">
        <v>220</v>
      </c>
    </row>
    <row r="2" spans="1:2">
      <c r="A2">
        <v>101</v>
      </c>
      <c r="B2">
        <v>50</v>
      </c>
    </row>
    <row r="3" spans="1:2">
      <c r="A3">
        <v>101</v>
      </c>
      <c r="B3">
        <v>51</v>
      </c>
    </row>
    <row r="4" spans="1:2">
      <c r="A4">
        <v>102</v>
      </c>
      <c r="B4">
        <v>52</v>
      </c>
    </row>
    <row r="5" spans="1:2">
      <c r="A5">
        <v>102</v>
      </c>
      <c r="B5">
        <v>53</v>
      </c>
    </row>
    <row r="6" spans="1:2">
      <c r="A6">
        <v>103</v>
      </c>
      <c r="B6">
        <v>54</v>
      </c>
    </row>
    <row r="7" spans="1:2">
      <c r="A7">
        <v>103</v>
      </c>
      <c r="B7">
        <v>55</v>
      </c>
    </row>
    <row r="8" spans="1:2">
      <c r="A8">
        <v>103</v>
      </c>
      <c r="B8">
        <v>56</v>
      </c>
    </row>
    <row r="9" spans="1:2">
      <c r="A9">
        <v>104</v>
      </c>
      <c r="B9">
        <v>54</v>
      </c>
    </row>
    <row r="10" spans="1:2">
      <c r="A10">
        <v>104</v>
      </c>
      <c r="B10">
        <v>56</v>
      </c>
    </row>
    <row r="11" spans="1:2">
      <c r="A11">
        <v>105</v>
      </c>
      <c r="B11">
        <v>54</v>
      </c>
    </row>
    <row r="12" spans="1:2">
      <c r="A12">
        <v>105</v>
      </c>
      <c r="B12">
        <v>55</v>
      </c>
    </row>
    <row r="13" spans="1:2">
      <c r="A13">
        <v>106</v>
      </c>
      <c r="B13">
        <v>57</v>
      </c>
    </row>
    <row r="14" spans="1:2">
      <c r="A14">
        <v>106</v>
      </c>
      <c r="B14">
        <v>58</v>
      </c>
    </row>
    <row r="15" spans="1:2">
      <c r="A15">
        <v>107</v>
      </c>
      <c r="B15">
        <v>59</v>
      </c>
    </row>
    <row r="16" spans="1:2">
      <c r="A16">
        <v>107</v>
      </c>
      <c r="B16">
        <v>60</v>
      </c>
    </row>
    <row r="17" spans="1:2">
      <c r="A17">
        <v>108</v>
      </c>
      <c r="B17">
        <v>61</v>
      </c>
    </row>
    <row r="18" spans="1:2">
      <c r="A18">
        <v>108</v>
      </c>
      <c r="B18">
        <v>62</v>
      </c>
    </row>
    <row r="19" spans="1:2">
      <c r="A19">
        <v>108</v>
      </c>
      <c r="B19">
        <v>63</v>
      </c>
    </row>
    <row r="20" spans="1:2">
      <c r="A20">
        <v>109</v>
      </c>
      <c r="B20">
        <v>59</v>
      </c>
    </row>
    <row r="21" spans="1:2">
      <c r="A21">
        <v>109</v>
      </c>
      <c r="B21">
        <v>57</v>
      </c>
    </row>
    <row r="22" spans="1:2">
      <c r="A22">
        <v>109</v>
      </c>
      <c r="B22">
        <v>64</v>
      </c>
    </row>
    <row r="23" spans="1:2">
      <c r="A23">
        <v>110</v>
      </c>
      <c r="B23">
        <v>65</v>
      </c>
    </row>
    <row r="24" spans="1:2">
      <c r="A24">
        <v>110</v>
      </c>
      <c r="B24">
        <v>66</v>
      </c>
    </row>
    <row r="25" spans="1:2">
      <c r="A25">
        <v>111</v>
      </c>
      <c r="B25">
        <v>67</v>
      </c>
    </row>
    <row r="26" spans="1:2">
      <c r="A26">
        <v>111</v>
      </c>
      <c r="B26">
        <v>68</v>
      </c>
    </row>
    <row r="27" spans="1:2">
      <c r="A27">
        <v>112</v>
      </c>
      <c r="B27">
        <v>69</v>
      </c>
    </row>
    <row r="28" spans="1:2">
      <c r="A28">
        <v>112</v>
      </c>
      <c r="B28">
        <v>70</v>
      </c>
    </row>
    <row r="29" spans="1:2">
      <c r="A29">
        <v>113</v>
      </c>
      <c r="B29">
        <v>71</v>
      </c>
    </row>
    <row r="30" spans="1:2">
      <c r="A30">
        <v>113</v>
      </c>
      <c r="B30">
        <v>72</v>
      </c>
    </row>
    <row r="31" spans="1:2">
      <c r="A31">
        <v>114</v>
      </c>
      <c r="B31">
        <v>73</v>
      </c>
    </row>
    <row r="32" spans="1:2">
      <c r="A32">
        <v>114</v>
      </c>
      <c r="B32">
        <v>74</v>
      </c>
    </row>
    <row r="33" spans="1:2">
      <c r="A33">
        <v>115</v>
      </c>
      <c r="B33">
        <v>75</v>
      </c>
    </row>
    <row r="34" spans="1:2">
      <c r="A34">
        <v>115</v>
      </c>
      <c r="B34">
        <v>76</v>
      </c>
    </row>
    <row r="35" spans="1:2">
      <c r="A35">
        <v>116</v>
      </c>
      <c r="B35">
        <v>77</v>
      </c>
    </row>
    <row r="36" spans="1:2">
      <c r="A36">
        <v>116</v>
      </c>
      <c r="B36">
        <v>78</v>
      </c>
    </row>
    <row r="37" spans="1:2">
      <c r="A37">
        <v>117</v>
      </c>
      <c r="B37">
        <v>69</v>
      </c>
    </row>
    <row r="38" spans="1:2">
      <c r="A38">
        <v>117</v>
      </c>
      <c r="B38">
        <v>79</v>
      </c>
    </row>
    <row r="39" spans="1:2">
      <c r="A39">
        <v>118</v>
      </c>
      <c r="B39">
        <v>80</v>
      </c>
    </row>
    <row r="40" spans="1:2">
      <c r="A40">
        <v>118</v>
      </c>
      <c r="B40">
        <v>81</v>
      </c>
    </row>
    <row r="41" spans="1:2">
      <c r="A41">
        <v>119</v>
      </c>
      <c r="B41">
        <v>82</v>
      </c>
    </row>
    <row r="42" spans="1:2">
      <c r="A42">
        <v>119</v>
      </c>
      <c r="B42">
        <v>83</v>
      </c>
    </row>
    <row r="43" spans="1:2">
      <c r="A43">
        <v>120</v>
      </c>
      <c r="B43">
        <v>84</v>
      </c>
    </row>
    <row r="44" spans="1:2">
      <c r="A44">
        <v>120</v>
      </c>
      <c r="B44">
        <v>85</v>
      </c>
    </row>
    <row r="45" spans="1:2">
      <c r="A45">
        <v>121</v>
      </c>
      <c r="B45">
        <v>86</v>
      </c>
    </row>
    <row r="46" spans="1:2">
      <c r="A46">
        <v>121</v>
      </c>
      <c r="B46">
        <v>87</v>
      </c>
    </row>
    <row r="47" spans="1:2">
      <c r="A47">
        <v>122</v>
      </c>
      <c r="B47">
        <v>88</v>
      </c>
    </row>
    <row r="48" spans="1:2">
      <c r="A48">
        <v>122</v>
      </c>
      <c r="B48">
        <v>89</v>
      </c>
    </row>
    <row r="49" spans="1:2">
      <c r="A49">
        <v>123</v>
      </c>
      <c r="B49">
        <v>90</v>
      </c>
    </row>
    <row r="50" spans="1:2">
      <c r="A50">
        <v>123</v>
      </c>
      <c r="B50">
        <v>91</v>
      </c>
    </row>
    <row r="51" spans="1:2">
      <c r="A51">
        <v>124</v>
      </c>
      <c r="B51">
        <v>92</v>
      </c>
    </row>
    <row r="52" spans="1:2">
      <c r="A52">
        <v>124</v>
      </c>
      <c r="B52">
        <v>93</v>
      </c>
    </row>
    <row r="53" spans="1:2">
      <c r="A53">
        <v>125</v>
      </c>
      <c r="B53">
        <v>94</v>
      </c>
    </row>
    <row r="54" spans="1:2">
      <c r="A54">
        <v>125</v>
      </c>
      <c r="B54">
        <v>95</v>
      </c>
    </row>
    <row r="55" spans="1:2">
      <c r="A55">
        <v>125</v>
      </c>
      <c r="B55">
        <v>54</v>
      </c>
    </row>
    <row r="56" spans="1:2">
      <c r="A56">
        <v>126</v>
      </c>
      <c r="B56">
        <v>94</v>
      </c>
    </row>
    <row r="57" spans="1:2">
      <c r="A57">
        <v>126</v>
      </c>
      <c r="B57">
        <v>95</v>
      </c>
    </row>
    <row r="58" spans="1:2">
      <c r="A58">
        <v>126</v>
      </c>
      <c r="B58">
        <v>54</v>
      </c>
    </row>
    <row r="59" spans="1:2">
      <c r="A59">
        <v>127</v>
      </c>
      <c r="B59">
        <v>150</v>
      </c>
    </row>
    <row r="60" spans="1:2">
      <c r="A60">
        <v>127</v>
      </c>
      <c r="B60">
        <v>151</v>
      </c>
    </row>
    <row r="61" spans="1:2">
      <c r="A61">
        <v>128</v>
      </c>
      <c r="B61">
        <v>61</v>
      </c>
    </row>
    <row r="62" spans="1:2">
      <c r="A62">
        <v>128</v>
      </c>
      <c r="B62">
        <v>152</v>
      </c>
    </row>
    <row r="63" spans="1:2">
      <c r="A63">
        <v>129</v>
      </c>
      <c r="B63">
        <v>51</v>
      </c>
    </row>
    <row r="64" spans="1:2">
      <c r="A64">
        <v>129</v>
      </c>
      <c r="B64">
        <v>153</v>
      </c>
    </row>
    <row r="65" spans="1:2">
      <c r="A65">
        <v>130</v>
      </c>
      <c r="B65">
        <v>61</v>
      </c>
    </row>
    <row r="66" spans="1:2">
      <c r="A66">
        <v>130</v>
      </c>
      <c r="B66">
        <v>154</v>
      </c>
    </row>
    <row r="67" spans="1:2">
      <c r="A67">
        <v>131</v>
      </c>
      <c r="B67">
        <v>155</v>
      </c>
    </row>
    <row r="68" spans="1:2">
      <c r="A68">
        <v>131</v>
      </c>
      <c r="B68">
        <v>154</v>
      </c>
    </row>
    <row r="69" spans="1:2">
      <c r="A69">
        <v>132</v>
      </c>
      <c r="B69">
        <v>156</v>
      </c>
    </row>
    <row r="70" spans="1:2">
      <c r="A70">
        <v>132</v>
      </c>
      <c r="B70">
        <v>157</v>
      </c>
    </row>
    <row r="71" spans="1:2">
      <c r="A71">
        <v>133</v>
      </c>
      <c r="B71">
        <v>158</v>
      </c>
    </row>
    <row r="72" spans="1:2">
      <c r="A72">
        <v>133</v>
      </c>
      <c r="B72">
        <v>159</v>
      </c>
    </row>
    <row r="73" spans="1:2">
      <c r="A73">
        <v>134</v>
      </c>
      <c r="B73">
        <v>160</v>
      </c>
    </row>
    <row r="74" spans="1:2">
      <c r="A74">
        <v>134</v>
      </c>
      <c r="B74">
        <v>161</v>
      </c>
    </row>
    <row r="75" spans="1:2">
      <c r="A75">
        <v>135</v>
      </c>
      <c r="B75">
        <v>162</v>
      </c>
    </row>
    <row r="76" spans="1:2">
      <c r="A76">
        <v>135</v>
      </c>
      <c r="B76">
        <v>163</v>
      </c>
    </row>
    <row r="77" spans="1:2">
      <c r="A77">
        <v>136</v>
      </c>
      <c r="B77">
        <v>164</v>
      </c>
    </row>
    <row r="78" spans="1:2">
      <c r="A78">
        <v>136</v>
      </c>
      <c r="B78">
        <v>165</v>
      </c>
    </row>
    <row r="79" spans="1:2">
      <c r="A79">
        <v>137</v>
      </c>
      <c r="B79">
        <v>95</v>
      </c>
    </row>
    <row r="80" spans="1:2">
      <c r="A80">
        <v>137</v>
      </c>
      <c r="B80">
        <v>166</v>
      </c>
    </row>
    <row r="81" spans="1:2">
      <c r="A81">
        <v>138</v>
      </c>
      <c r="B81">
        <v>95</v>
      </c>
    </row>
    <row r="82" spans="1:2">
      <c r="A82">
        <v>138</v>
      </c>
      <c r="B82">
        <v>167</v>
      </c>
    </row>
    <row r="83" spans="1:2">
      <c r="A83">
        <v>139</v>
      </c>
      <c r="B83">
        <v>164</v>
      </c>
    </row>
    <row r="84" spans="1:2">
      <c r="A84">
        <v>139</v>
      </c>
      <c r="B84">
        <v>168</v>
      </c>
    </row>
    <row r="85" spans="1:2">
      <c r="A85">
        <v>140</v>
      </c>
      <c r="B85">
        <v>169</v>
      </c>
    </row>
    <row r="86" spans="1:2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5"/>
  <cols>
    <col min="1" max="1" width="12.42578125" customWidth="1"/>
  </cols>
  <sheetData>
    <row r="1" spans="1:2">
      <c r="A1" s="2" t="s">
        <v>96</v>
      </c>
      <c r="B1" s="2" t="s">
        <v>221</v>
      </c>
    </row>
    <row r="2" spans="1:2">
      <c r="A2">
        <v>1</v>
      </c>
      <c r="B2" t="s">
        <v>290</v>
      </c>
    </row>
    <row r="3" spans="1:2">
      <c r="A3">
        <v>2</v>
      </c>
      <c r="B3" t="s">
        <v>291</v>
      </c>
    </row>
    <row r="4" spans="1:2">
      <c r="A4">
        <v>3</v>
      </c>
      <c r="B4" t="s">
        <v>292</v>
      </c>
    </row>
    <row r="5" spans="1:2">
      <c r="A5">
        <v>4</v>
      </c>
      <c r="B5" t="s">
        <v>293</v>
      </c>
    </row>
    <row r="6" spans="1:2">
      <c r="A6">
        <v>5</v>
      </c>
      <c r="B6" t="s">
        <v>294</v>
      </c>
    </row>
    <row r="7" spans="1:2">
      <c r="A7">
        <v>6</v>
      </c>
      <c r="B7" t="s">
        <v>295</v>
      </c>
    </row>
    <row r="8" spans="1:2">
      <c r="A8">
        <v>7</v>
      </c>
      <c r="B8" t="s">
        <v>296</v>
      </c>
    </row>
    <row r="9" spans="1:2">
      <c r="A9">
        <v>8</v>
      </c>
      <c r="B9" t="s">
        <v>297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FCE0-27D7-4E3D-B6CA-DEF0D11FC1B5}">
  <sheetPr>
    <tabColor rgb="FF70AD47"/>
  </sheetPr>
  <dimension ref="A1:G28"/>
  <sheetViews>
    <sheetView tabSelected="1" topLeftCell="A11" workbookViewId="0">
      <selection activeCell="C20" sqref="C20"/>
    </sheetView>
  </sheetViews>
  <sheetFormatPr defaultRowHeight="15"/>
  <cols>
    <col min="1" max="1" width="15.42578125" bestFit="1" customWidth="1"/>
    <col min="2" max="2" width="18" bestFit="1" customWidth="1"/>
    <col min="3" max="3" width="20.28515625" bestFit="1" customWidth="1"/>
    <col min="4" max="4" width="21" bestFit="1" customWidth="1"/>
  </cols>
  <sheetData>
    <row r="1" spans="1:4">
      <c r="A1" s="4" t="s">
        <v>298</v>
      </c>
      <c r="B1" s="4" t="s">
        <v>299</v>
      </c>
      <c r="C1" s="4" t="s">
        <v>300</v>
      </c>
      <c r="D1" s="4" t="s">
        <v>301</v>
      </c>
    </row>
    <row r="2" spans="1:4">
      <c r="A2" t="s">
        <v>294</v>
      </c>
      <c r="B2" s="11">
        <f>COUNTIF(MovieFinancials!$G$2:$G$44,5)</f>
        <v>23</v>
      </c>
      <c r="C2" s="12">
        <f>IFERROR(AVERAGEIFS(MovieFinancials!$E$2:$E$44,MovieFinancials!$G$2:$G$44,5,MovieFinancials!$E$2:$E$44,"&gt;0"),"")</f>
        <v>7.839130434782609</v>
      </c>
      <c r="D2" s="13">
        <f>SUMIFS(MovieFinancials!$R$2:$R$44,MovieFinancials!$G$2:$G$44,5)-SUMIFS(MovieFinancials!$Q$2:$Q$44,MovieFinancials!$G$2:$G$44,5)</f>
        <v>15472.320000000002</v>
      </c>
    </row>
    <row r="3" spans="1:4">
      <c r="A3" t="s">
        <v>290</v>
      </c>
      <c r="B3" s="11">
        <f>COUNTIF(MovieFinancials!$G$2:$G$44,1)</f>
        <v>15</v>
      </c>
      <c r="C3" s="12">
        <f>IFERROR(AVERAGEIFS(MovieFinancials!$E$2:$E$44,MovieFinancials!$G$2:$G$44,1,MovieFinancials!$E$2:$E$44,"&gt;0"),"")</f>
        <v>7.1428571428571432</v>
      </c>
      <c r="D3" s="13">
        <f>SUMIFS(MovieFinancials!$R$2:$R$44,MovieFinancials!$G$2:$G$44,1)-SUMIFS(MovieFinancials!$Q$2:$Q$44,MovieFinancials!$G$2:$G$44,1)</f>
        <v>444.98749999999995</v>
      </c>
    </row>
    <row r="4" spans="1:4">
      <c r="A4" t="s">
        <v>291</v>
      </c>
      <c r="B4" s="11">
        <f>COUNTIF(MovieFinancials!$G$2:$G$44,2)</f>
        <v>3</v>
      </c>
      <c r="C4" s="12">
        <f>IFERROR(AVERAGEIFS(MovieFinancials!$E$2:$E$44,MovieFinancials!$G$2:$G$44,2,MovieFinancials!$E$2:$E$44,"&gt;0"),"")</f>
        <v>7.8666666666666671</v>
      </c>
      <c r="D4" s="13">
        <f>SUMIFS(MovieFinancials!$R$2:$R$44,MovieFinancials!$G$2:$G$44,2)-SUMIFS(MovieFinancials!$Q$2:$Q$44,MovieFinancials!$G$2:$G$44,2)</f>
        <v>160</v>
      </c>
    </row>
    <row r="5" spans="1:4">
      <c r="A5" t="s">
        <v>292</v>
      </c>
      <c r="B5" s="11">
        <f>COUNTIF(MovieFinancials!$G$2:$G$44,3)</f>
        <v>1</v>
      </c>
      <c r="C5" s="12">
        <f>IFERROR(AVERAGEIFS(MovieFinancials!$E$2:$E$44,MovieFinancials!$G$2:$G$44,3,MovieFinancials!$E$2:$E$44,"&gt;0"),"")</f>
        <v>8.4</v>
      </c>
      <c r="D5" s="13">
        <f>SUMIFS(MovieFinancials!$R$2:$R$44,MovieFinancials!$G$2:$G$44,3)-SUMIFS(MovieFinancials!$Q$2:$Q$44,MovieFinancials!$G$2:$G$44,3)</f>
        <v>143.75</v>
      </c>
    </row>
    <row r="6" spans="1:4">
      <c r="A6" t="s">
        <v>296</v>
      </c>
      <c r="B6" s="11">
        <f>COUNTIF(MovieFinancials!$G$2:$G$44,7)</f>
        <v>1</v>
      </c>
      <c r="C6" s="12">
        <f>IFERROR(AVERAGEIFS(MovieFinancials!$E$2:$E$44,MovieFinancials!$G$2:$G$44,7,MovieFinancials!$E$2:$E$44,"&gt;0"),"")</f>
        <v>8.3000000000000007</v>
      </c>
      <c r="D6" s="13">
        <f>SUMIFS(MovieFinancials!$R$2:$R$44,MovieFinancials!$G$2:$G$44,7)-SUMIFS(MovieFinancials!$Q$2:$Q$44,MovieFinancials!$G$2:$G$44,7)</f>
        <v>0.375</v>
      </c>
    </row>
    <row r="7" spans="1:4">
      <c r="A7" t="s">
        <v>293</v>
      </c>
      <c r="B7" s="11">
        <f>COUNTIF(MovieFinancials!$G$2:$G$44,4)</f>
        <v>0</v>
      </c>
      <c r="C7" s="12" t="str">
        <f>IFERROR(AVERAGEIFS(MovieFinancials!$E$2:$E$44,MovieFinancials!$G$2:$G$44,4,MovieFinancials!$E$2:$E$44,"&gt;0"),"")</f>
        <v/>
      </c>
      <c r="D7" s="13">
        <f>SUMIFS(MovieFinancials!$R$2:$R$44,MovieFinancials!$G$2:$G$44,4)-SUMIFS(MovieFinancials!$Q$2:$Q$44,MovieFinancials!$G$2:$G$44,4)</f>
        <v>0</v>
      </c>
    </row>
    <row r="8" spans="1:4">
      <c r="A8" t="s">
        <v>295</v>
      </c>
      <c r="B8" s="11">
        <f>COUNTIF(MovieFinancials!$G$2:$G$44,6)</f>
        <v>0</v>
      </c>
      <c r="C8" s="12" t="str">
        <f>IFERROR(AVERAGEIFS(MovieFinancials!$E$2:$E$44,MovieFinancials!$G$2:$G$44,6,MovieFinancials!$E$2:$E$44,"&gt;0"),"")</f>
        <v/>
      </c>
      <c r="D8" s="13">
        <f>SUMIFS(MovieFinancials!$R$2:$R$44,MovieFinancials!$G$2:$G$44,6)-SUMIFS(MovieFinancials!$Q$2:$Q$44,MovieFinancials!$G$2:$G$44,6)</f>
        <v>0</v>
      </c>
    </row>
    <row r="9" spans="1:4">
      <c r="A9" t="s">
        <v>297</v>
      </c>
      <c r="B9" s="11">
        <f>COUNTIF(MovieFinancials!$G$2:$G$44,8)</f>
        <v>0</v>
      </c>
      <c r="C9" s="12" t="str">
        <f>IFERROR(AVERAGEIFS(MovieFinancials!$E$2:$E$44,MovieFinancials!$G$2:$G$44,8,MovieFinancials!$E$2:$E$44,"&gt;0"),"")</f>
        <v/>
      </c>
      <c r="D9" s="13">
        <f>SUMIFS(MovieFinancials!$R$2:$R$44,MovieFinancials!$G$2:$G$44,8)-SUMIFS(MovieFinancials!$Q$2:$Q$44,MovieFinancials!$G$2:$G$44,8)</f>
        <v>0</v>
      </c>
    </row>
    <row r="20" spans="3:7">
      <c r="C20" s="14"/>
      <c r="F20" t="s">
        <v>298</v>
      </c>
      <c r="G20" t="s">
        <v>301</v>
      </c>
    </row>
    <row r="21" spans="3:7">
      <c r="F21" t="str">
        <f>A2</f>
        <v>English</v>
      </c>
      <c r="G21" s="14">
        <f>D2</f>
        <v>15472.320000000002</v>
      </c>
    </row>
    <row r="22" spans="3:7">
      <c r="F22" t="str">
        <f>A3</f>
        <v>Hindi</v>
      </c>
      <c r="G22" s="14">
        <f>D3</f>
        <v>444.98749999999995</v>
      </c>
    </row>
    <row r="23" spans="3:7">
      <c r="F23" t="str">
        <f>A4</f>
        <v>Telugu</v>
      </c>
      <c r="G23" s="14">
        <f>D4</f>
        <v>160</v>
      </c>
    </row>
    <row r="24" spans="3:7">
      <c r="F24" t="str">
        <f>A5</f>
        <v>Kannada</v>
      </c>
      <c r="G24" s="14">
        <f>D5</f>
        <v>143.75</v>
      </c>
    </row>
    <row r="25" spans="3:7">
      <c r="F25" t="str">
        <f>A6</f>
        <v>Bengali</v>
      </c>
      <c r="G25" s="14">
        <f>D6</f>
        <v>0.375</v>
      </c>
    </row>
    <row r="26" spans="3:7">
      <c r="F26" t="str">
        <f>A7</f>
        <v>Tamil</v>
      </c>
      <c r="G26" s="14">
        <f>D7</f>
        <v>0</v>
      </c>
    </row>
    <row r="27" spans="3:7">
      <c r="F27" t="str">
        <f>A8</f>
        <v>French</v>
      </c>
      <c r="G27" s="14">
        <f>D8</f>
        <v>0</v>
      </c>
    </row>
    <row r="28" spans="3:7">
      <c r="F28" t="str">
        <f>A9</f>
        <v>Gujarati</v>
      </c>
      <c r="G28" s="14">
        <f>D9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DFA0-39E9-4D4D-A2CC-C04FB99E3A31}">
  <dimension ref="A1:C7"/>
  <sheetViews>
    <sheetView workbookViewId="0">
      <selection activeCell="C5" sqref="A1:C5"/>
    </sheetView>
  </sheetViews>
  <sheetFormatPr defaultRowHeight="15"/>
  <cols>
    <col min="1" max="1" width="29.140625" customWidth="1"/>
    <col min="2" max="2" width="48" style="3" customWidth="1"/>
    <col min="3" max="3" width="31.28515625" bestFit="1" customWidth="1"/>
  </cols>
  <sheetData>
    <row r="1" spans="1:3">
      <c r="A1" t="s">
        <v>302</v>
      </c>
      <c r="B1" s="3" t="s">
        <v>303</v>
      </c>
      <c r="C1" t="s">
        <v>304</v>
      </c>
    </row>
    <row r="2" spans="1:3" ht="30.75">
      <c r="A2" t="s">
        <v>305</v>
      </c>
      <c r="B2" s="3" t="s">
        <v>306</v>
      </c>
      <c r="C2" t="s">
        <v>307</v>
      </c>
    </row>
    <row r="3" spans="1:3">
      <c r="A3" t="s">
        <v>308</v>
      </c>
      <c r="B3" t="s">
        <v>309</v>
      </c>
      <c r="C3" s="10">
        <v>39.42</v>
      </c>
    </row>
    <row r="4" spans="1:3" ht="60.75">
      <c r="A4" t="s">
        <v>310</v>
      </c>
      <c r="B4" s="3" t="s">
        <v>311</v>
      </c>
      <c r="C4" s="3" t="s">
        <v>312</v>
      </c>
    </row>
    <row r="5" spans="1:3" ht="60.75">
      <c r="A5" t="s">
        <v>313</v>
      </c>
      <c r="B5" s="3" t="s">
        <v>314</v>
      </c>
      <c r="C5" s="3" t="s">
        <v>315</v>
      </c>
    </row>
    <row r="6" spans="1:3">
      <c r="B6" s="15"/>
    </row>
    <row r="7" spans="1:3">
      <c r="B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6C97D6F-A515-40FC-959A-7BC863F10CEF}"/>
</file>

<file path=customXml/itemProps2.xml><?xml version="1.0" encoding="utf-8"?>
<ds:datastoreItem xmlns:ds="http://schemas.openxmlformats.org/officeDocument/2006/customXml" ds:itemID="{02BA008F-2FD2-4901-8027-A024DA31C6C8}"/>
</file>

<file path=customXml/itemProps3.xml><?xml version="1.0" encoding="utf-8"?>
<ds:datastoreItem xmlns:ds="http://schemas.openxmlformats.org/officeDocument/2006/customXml" ds:itemID="{9B451A74-F3AD-4799-AC03-3323C4C7DE20}"/>
</file>

<file path=customXml/itemProps4.xml><?xml version="1.0" encoding="utf-8"?>
<ds:datastoreItem xmlns:ds="http://schemas.openxmlformats.org/officeDocument/2006/customXml" ds:itemID="{EEFF9027-FBEF-4910-8EE6-13D64012C7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Dhaval Patel</dc:creator>
  <cp:keywords/>
  <dc:description/>
  <cp:lastModifiedBy/>
  <cp:revision/>
  <dcterms:created xsi:type="dcterms:W3CDTF">2015-06-05T18:17:20Z</dcterms:created>
  <dcterms:modified xsi:type="dcterms:W3CDTF">2026-10-16T09:53:25Z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